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ESHWAR REDDY\Videos\Excel Project\"/>
    </mc:Choice>
  </mc:AlternateContent>
  <xr:revisionPtr revIDLastSave="0" documentId="13_ncr:1_{35469CD8-01EE-4BFF-B744-39706E6D6CA3}" xr6:coauthVersionLast="47" xr6:coauthVersionMax="47" xr10:uidLastSave="{00000000-0000-0000-0000-000000000000}"/>
  <bookViews>
    <workbookView xWindow="-108" yWindow="-108" windowWidth="23256" windowHeight="12456" activeTab="3" xr2:uid="{5A786DC0-06D0-4E49-B862-0B7938E4F6E6}"/>
  </bookViews>
  <sheets>
    <sheet name="monthly_spending_dataset_2020_2" sheetId="1" r:id="rId1"/>
    <sheet name="Transformed_Data" sheetId="3" r:id="rId2"/>
    <sheet name="Pivots" sheetId="2" r:id="rId3"/>
    <sheet name="Dashboard" sheetId="4" r:id="rId4"/>
  </sheets>
  <definedNames>
    <definedName name="ExternalData_1" localSheetId="1" hidden="1">Transformed_Data!$A$1:$J$691</definedName>
    <definedName name="Slicer_Month">#N/A</definedName>
    <definedName name="Slicer_Month1">#N/A</definedName>
    <definedName name="Slicer_Year">#N/A</definedName>
    <definedName name="Slicer_Year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R70" i="1" l="1"/>
  <c r="Q70" i="1"/>
  <c r="C70" i="1"/>
  <c r="B70" i="1"/>
  <c r="R69" i="1"/>
  <c r="Q69" i="1"/>
  <c r="C69" i="1"/>
  <c r="B69" i="1"/>
  <c r="R68" i="1"/>
  <c r="Q68" i="1"/>
  <c r="C68" i="1"/>
  <c r="B68" i="1"/>
  <c r="R67" i="1"/>
  <c r="Q67" i="1"/>
  <c r="C67" i="1"/>
  <c r="B67" i="1"/>
  <c r="R66" i="1"/>
  <c r="Q66" i="1"/>
  <c r="C66" i="1"/>
  <c r="B66" i="1"/>
  <c r="R65" i="1"/>
  <c r="Q65" i="1"/>
  <c r="C65" i="1"/>
  <c r="B65" i="1"/>
  <c r="R64" i="1"/>
  <c r="Q64" i="1"/>
  <c r="C64" i="1"/>
  <c r="B64" i="1"/>
  <c r="R63" i="1"/>
  <c r="Q63" i="1"/>
  <c r="C63" i="1"/>
  <c r="B63" i="1"/>
  <c r="R62" i="1"/>
  <c r="Q62" i="1"/>
  <c r="C62" i="1"/>
  <c r="B62" i="1"/>
  <c r="R61" i="1"/>
  <c r="Q61" i="1"/>
  <c r="C61" i="1"/>
  <c r="B61" i="1"/>
  <c r="R60" i="1"/>
  <c r="Q60" i="1"/>
  <c r="C60" i="1"/>
  <c r="B60" i="1"/>
  <c r="R59" i="1"/>
  <c r="Q59" i="1"/>
  <c r="C59" i="1"/>
  <c r="B59" i="1"/>
  <c r="R58" i="1"/>
  <c r="Q58" i="1"/>
  <c r="C58" i="1"/>
  <c r="B58" i="1"/>
  <c r="R57" i="1"/>
  <c r="Q57" i="1"/>
  <c r="C57" i="1"/>
  <c r="B57" i="1"/>
  <c r="R56" i="1"/>
  <c r="Q56" i="1"/>
  <c r="C56" i="1"/>
  <c r="B56" i="1"/>
  <c r="R55" i="1"/>
  <c r="Q55" i="1"/>
  <c r="C55" i="1"/>
  <c r="B55" i="1"/>
  <c r="R54" i="1"/>
  <c r="Q54" i="1"/>
  <c r="C54" i="1"/>
  <c r="B54" i="1"/>
  <c r="R53" i="1"/>
  <c r="Q53" i="1"/>
  <c r="C53" i="1"/>
  <c r="B53" i="1"/>
  <c r="R52" i="1"/>
  <c r="Q52" i="1"/>
  <c r="C52" i="1"/>
  <c r="B52" i="1"/>
  <c r="R51" i="1"/>
  <c r="Q51" i="1"/>
  <c r="C51" i="1"/>
  <c r="B51" i="1"/>
  <c r="R50" i="1"/>
  <c r="Q50" i="1"/>
  <c r="C50" i="1"/>
  <c r="B50" i="1"/>
  <c r="R49" i="1"/>
  <c r="Q49" i="1"/>
  <c r="C49" i="1"/>
  <c r="B49" i="1"/>
  <c r="R48" i="1"/>
  <c r="Q48" i="1"/>
  <c r="C48" i="1"/>
  <c r="B48" i="1"/>
  <c r="R47" i="1"/>
  <c r="Q47" i="1"/>
  <c r="C47" i="1"/>
  <c r="B47" i="1"/>
  <c r="R46" i="1"/>
  <c r="Q46" i="1"/>
  <c r="C46" i="1"/>
  <c r="B46" i="1"/>
  <c r="R45" i="1"/>
  <c r="Q45" i="1"/>
  <c r="C45" i="1"/>
  <c r="B45" i="1"/>
  <c r="R44" i="1"/>
  <c r="Q44" i="1"/>
  <c r="C44" i="1"/>
  <c r="B44" i="1"/>
  <c r="R43" i="1"/>
  <c r="Q43" i="1"/>
  <c r="C43" i="1"/>
  <c r="B43" i="1"/>
  <c r="R42" i="1"/>
  <c r="Q42" i="1"/>
  <c r="C42" i="1"/>
  <c r="B42" i="1"/>
  <c r="R41" i="1"/>
  <c r="Q41" i="1"/>
  <c r="C41" i="1"/>
  <c r="B41" i="1"/>
  <c r="R40" i="1"/>
  <c r="Q40" i="1"/>
  <c r="C40" i="1"/>
  <c r="B40" i="1"/>
  <c r="R39" i="1"/>
  <c r="Q39" i="1"/>
  <c r="C39" i="1"/>
  <c r="B39" i="1"/>
  <c r="R38" i="1"/>
  <c r="Q38" i="1"/>
  <c r="C38" i="1"/>
  <c r="B38" i="1"/>
  <c r="R37" i="1"/>
  <c r="Q37" i="1"/>
  <c r="C37" i="1"/>
  <c r="B37" i="1"/>
  <c r="R36" i="1"/>
  <c r="Q36" i="1"/>
  <c r="C36" i="1"/>
  <c r="B36" i="1"/>
  <c r="R35" i="1"/>
  <c r="Q35" i="1"/>
  <c r="C35" i="1"/>
  <c r="B35" i="1"/>
  <c r="R34" i="1"/>
  <c r="Q34" i="1"/>
  <c r="C34" i="1"/>
  <c r="B34" i="1"/>
  <c r="R33" i="1"/>
  <c r="Q33" i="1"/>
  <c r="C33" i="1"/>
  <c r="B33" i="1"/>
  <c r="R32" i="1"/>
  <c r="Q32" i="1"/>
  <c r="C32" i="1"/>
  <c r="B32" i="1"/>
  <c r="R31" i="1"/>
  <c r="Q31" i="1"/>
  <c r="C31" i="1"/>
  <c r="B31" i="1"/>
  <c r="R30" i="1"/>
  <c r="Q30" i="1"/>
  <c r="C30" i="1"/>
  <c r="B30" i="1"/>
  <c r="R29" i="1"/>
  <c r="Q29" i="1"/>
  <c r="C29" i="1"/>
  <c r="B29" i="1"/>
  <c r="R28" i="1"/>
  <c r="Q28" i="1"/>
  <c r="C28" i="1"/>
  <c r="B28" i="1"/>
  <c r="R27" i="1"/>
  <c r="Q27" i="1"/>
  <c r="C27" i="1"/>
  <c r="B27" i="1"/>
  <c r="R26" i="1"/>
  <c r="Q26" i="1"/>
  <c r="C26" i="1"/>
  <c r="B26" i="1"/>
  <c r="R25" i="1"/>
  <c r="Q25" i="1"/>
  <c r="C25" i="1"/>
  <c r="B25" i="1"/>
  <c r="R24" i="1"/>
  <c r="Q24" i="1"/>
  <c r="C24" i="1"/>
  <c r="B24" i="1"/>
  <c r="R23" i="1"/>
  <c r="Q23" i="1"/>
  <c r="C23" i="1"/>
  <c r="B23" i="1"/>
  <c r="R22" i="1"/>
  <c r="Q22" i="1"/>
  <c r="C22" i="1"/>
  <c r="B22" i="1"/>
  <c r="R21" i="1"/>
  <c r="Q21" i="1"/>
  <c r="C21" i="1"/>
  <c r="B21" i="1"/>
  <c r="R20" i="1"/>
  <c r="Q20" i="1"/>
  <c r="C20" i="1"/>
  <c r="B20" i="1"/>
  <c r="R19" i="1"/>
  <c r="Q19" i="1"/>
  <c r="C19" i="1"/>
  <c r="B19" i="1"/>
  <c r="R18" i="1"/>
  <c r="Q18" i="1"/>
  <c r="C18" i="1"/>
  <c r="B18" i="1"/>
  <c r="R17" i="1"/>
  <c r="Q17" i="1"/>
  <c r="C17" i="1"/>
  <c r="B17" i="1"/>
  <c r="R16" i="1"/>
  <c r="Q16" i="1"/>
  <c r="C16" i="1"/>
  <c r="B16" i="1"/>
  <c r="R15" i="1"/>
  <c r="Q15" i="1"/>
  <c r="C15" i="1"/>
  <c r="B15" i="1"/>
  <c r="R14" i="1"/>
  <c r="Q14" i="1"/>
  <c r="C14" i="1"/>
  <c r="B14" i="1"/>
  <c r="R13" i="1"/>
  <c r="Q13" i="1"/>
  <c r="C13" i="1"/>
  <c r="B13" i="1"/>
  <c r="R12" i="1"/>
  <c r="Q12" i="1"/>
  <c r="C12" i="1"/>
  <c r="B12" i="1"/>
  <c r="R11" i="1"/>
  <c r="Q11" i="1"/>
  <c r="C11" i="1"/>
  <c r="B11" i="1"/>
  <c r="R10" i="1"/>
  <c r="Q10" i="1"/>
  <c r="C10" i="1"/>
  <c r="B10" i="1"/>
  <c r="R9" i="1"/>
  <c r="Q9" i="1"/>
  <c r="C9" i="1"/>
  <c r="B9" i="1"/>
  <c r="R8" i="1"/>
  <c r="Q8" i="1"/>
  <c r="C8" i="1"/>
  <c r="B8" i="1"/>
  <c r="R7" i="1"/>
  <c r="Q7" i="1"/>
  <c r="C7" i="1"/>
  <c r="B7" i="1"/>
  <c r="R6" i="1"/>
  <c r="Q6" i="1"/>
  <c r="C6" i="1"/>
  <c r="B6" i="1"/>
  <c r="R5" i="1"/>
  <c r="Q5" i="1"/>
  <c r="C5" i="1"/>
  <c r="B5" i="1"/>
  <c r="R4" i="1"/>
  <c r="Q4" i="1"/>
  <c r="C4" i="1"/>
  <c r="B4" i="1"/>
  <c r="R3" i="1"/>
  <c r="Q3" i="1"/>
  <c r="C3" i="1"/>
  <c r="B3" i="1"/>
  <c r="R2" i="1"/>
  <c r="Q2" i="1"/>
  <c r="C2" i="1"/>
  <c r="B2" i="1"/>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00B79F-33D8-4679-833E-12BE6A9DE0CF}" keepAlive="1" name="Query - Original_Data" description="Connection to the 'Original_Data' query in the workbook." type="5" refreshedVersion="8" background="1" saveData="1">
    <dbPr connection="Provider=Microsoft.Mashup.OleDb.1;Data Source=$Workbook$;Location=Original_Data;Extended Properties=&quot;&quot;" command="SELECT * FROM [Original_Data]"/>
  </connection>
</connections>
</file>

<file path=xl/sharedStrings.xml><?xml version="1.0" encoding="utf-8"?>
<sst xmlns="http://schemas.openxmlformats.org/spreadsheetml/2006/main" count="802" uniqueCount="45">
  <si>
    <t>Month</t>
  </si>
  <si>
    <t xml:space="preserve">Groceries </t>
  </si>
  <si>
    <t xml:space="preserve">Rent </t>
  </si>
  <si>
    <t xml:space="preserve">Transportation </t>
  </si>
  <si>
    <t xml:space="preserve">Gym </t>
  </si>
  <si>
    <t xml:space="preserve">Utilities </t>
  </si>
  <si>
    <t xml:space="preserve">Healthcare </t>
  </si>
  <si>
    <t xml:space="preserve">Investments </t>
  </si>
  <si>
    <t xml:space="preserve">Savings </t>
  </si>
  <si>
    <t xml:space="preserve">EMI/Loans </t>
  </si>
  <si>
    <t xml:space="preserve">Dining &amp; Entertainment </t>
  </si>
  <si>
    <t xml:space="preserve">Shopping &amp; Wants </t>
  </si>
  <si>
    <t xml:space="preserve">Total Expenditure </t>
  </si>
  <si>
    <t xml:space="preserve">Income </t>
  </si>
  <si>
    <t xml:space="preserve">Sum of Income </t>
  </si>
  <si>
    <t xml:space="preserve">Sum of Total Expenditure </t>
  </si>
  <si>
    <t>Surplus</t>
  </si>
  <si>
    <t>Surplus Rate</t>
  </si>
  <si>
    <t>Sum of Surplus</t>
  </si>
  <si>
    <t xml:space="preserve">Average of Total Expenditure </t>
  </si>
  <si>
    <t>Average of Surplus Rate</t>
  </si>
  <si>
    <t>Sum of Total Expenditure</t>
  </si>
  <si>
    <t>Row Labels</t>
  </si>
  <si>
    <t>Grand Total</t>
  </si>
  <si>
    <t>Jan</t>
  </si>
  <si>
    <t>Feb</t>
  </si>
  <si>
    <t>Mar</t>
  </si>
  <si>
    <t>Apr</t>
  </si>
  <si>
    <t>May</t>
  </si>
  <si>
    <t>Jun</t>
  </si>
  <si>
    <t>Jul</t>
  </si>
  <si>
    <t>Aug</t>
  </si>
  <si>
    <t>Sep</t>
  </si>
  <si>
    <t>Oct</t>
  </si>
  <si>
    <t>Nov</t>
  </si>
  <si>
    <t>Dec</t>
  </si>
  <si>
    <t>Year</t>
  </si>
  <si>
    <t>Date</t>
  </si>
  <si>
    <t>Category</t>
  </si>
  <si>
    <t>Amount</t>
  </si>
  <si>
    <t>Sum of Amount</t>
  </si>
  <si>
    <t>Column Labels</t>
  </si>
  <si>
    <t xml:space="preserve">Sum of Savings </t>
  </si>
  <si>
    <t xml:space="preserve">Sum of Investments </t>
  </si>
  <si>
    <t>Personal Finance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</si>
</sst>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name val="Arial Black"/>
      <family val="2"/>
    </font>
    <font>
      <b/>
      <sz val="10"/>
      <color rgb="FFFFFFFF"/>
      <name val="Calibri"/>
      <family val="2"/>
    </font>
    <font>
      <i/>
      <sz val="10"/>
      <color rgb="FF222222"/>
      <name val="Calibri"/>
      <family val="2"/>
    </font>
    <font>
      <sz val="10"/>
      <color rgb="FF22222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1D2330"/>
        <bgColor indexed="64"/>
      </patternFill>
    </fill>
    <fill>
      <patternFill patternType="solid">
        <fgColor rgb="FFF3F6FA"/>
        <bgColor indexed="64"/>
      </patternFill>
    </fill>
    <fill>
      <patternFill patternType="solid">
        <fgColor rgb="FFFFFFFF"/>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theme="9" tint="0.39994506668294322"/>
      </left>
      <right style="thin">
        <color indexed="64"/>
      </right>
      <top style="medium">
        <color theme="9" tint="0.39994506668294322"/>
      </top>
      <bottom style="thin">
        <color indexed="64"/>
      </bottom>
      <diagonal/>
    </border>
    <border>
      <left style="thin">
        <color indexed="64"/>
      </left>
      <right style="thin">
        <color indexed="64"/>
      </right>
      <top style="medium">
        <color theme="9" tint="0.39994506668294322"/>
      </top>
      <bottom style="thin">
        <color indexed="64"/>
      </bottom>
      <diagonal/>
    </border>
    <border>
      <left style="medium">
        <color theme="9" tint="0.39994506668294322"/>
      </left>
      <right style="thin">
        <color indexed="64"/>
      </right>
      <top style="thin">
        <color indexed="64"/>
      </top>
      <bottom style="medium">
        <color theme="9" tint="0.39994506668294322"/>
      </bottom>
      <diagonal/>
    </border>
    <border>
      <left style="thin">
        <color indexed="64"/>
      </left>
      <right style="thin">
        <color indexed="64"/>
      </right>
      <top style="thin">
        <color indexed="64"/>
      </top>
      <bottom style="medium">
        <color theme="9" tint="0.39994506668294322"/>
      </bottom>
      <diagonal/>
    </border>
    <border>
      <left style="thin">
        <color indexed="64"/>
      </left>
      <right/>
      <top style="medium">
        <color theme="9" tint="0.39994506668294322"/>
      </top>
      <bottom style="thin">
        <color indexed="64"/>
      </bottom>
      <diagonal/>
    </border>
    <border>
      <left style="thin">
        <color indexed="64"/>
      </left>
      <right style="medium">
        <color theme="9" tint="0.39994506668294322"/>
      </right>
      <top style="thin">
        <color rgb="FF808080"/>
      </top>
      <bottom style="thin">
        <color rgb="FF808080"/>
      </bottom>
      <diagonal/>
    </border>
    <border>
      <left style="thin">
        <color indexed="64"/>
      </left>
      <right style="thin">
        <color indexed="64"/>
      </right>
      <top style="thin">
        <color rgb="FF808080"/>
      </top>
      <bottom style="thin">
        <color rgb="FF808080"/>
      </bottom>
      <diagonal/>
    </border>
    <border>
      <left style="thin">
        <color indexed="64"/>
      </left>
      <right/>
      <top style="thin">
        <color indexed="64"/>
      </top>
      <bottom style="medium">
        <color theme="9" tint="0.39994506668294322"/>
      </bottom>
      <diagonal/>
    </border>
    <border>
      <left style="thin">
        <color indexed="64"/>
      </left>
      <right style="thin">
        <color indexed="64"/>
      </right>
      <top style="medium">
        <color theme="9" tint="0.39994506668294322"/>
      </top>
      <bottom/>
      <diagonal/>
    </border>
    <border>
      <left style="thin">
        <color indexed="64"/>
      </left>
      <right style="medium">
        <color theme="9" tint="0.39994506668294322"/>
      </right>
      <top style="medium">
        <color theme="9" tint="0.39994506668294322"/>
      </top>
      <bottom/>
      <diagonal/>
    </border>
    <border>
      <left style="medium">
        <color theme="9" tint="0.39994506668294322"/>
      </left>
      <right style="thin">
        <color indexed="64"/>
      </right>
      <top/>
      <bottom style="thin">
        <color indexed="64"/>
      </bottom>
      <diagonal/>
    </border>
    <border>
      <left style="thin">
        <color indexed="64"/>
      </left>
      <right style="medium">
        <color theme="9" tint="0.39994506668294322"/>
      </right>
      <top/>
      <bottom style="thin">
        <color indexed="64"/>
      </bottom>
      <diagonal/>
    </border>
    <border>
      <left style="medium">
        <color theme="9" tint="0.39994506668294322"/>
      </left>
      <right style="thin">
        <color indexed="64"/>
      </right>
      <top style="thin">
        <color indexed="64"/>
      </top>
      <bottom style="thin">
        <color indexed="64"/>
      </bottom>
      <diagonal/>
    </border>
    <border>
      <left style="thin">
        <color indexed="64"/>
      </left>
      <right style="medium">
        <color theme="9" tint="0.39994506668294322"/>
      </right>
      <top style="thin">
        <color indexed="64"/>
      </top>
      <bottom style="thin">
        <color indexed="64"/>
      </bottom>
      <diagonal/>
    </border>
    <border>
      <left style="medium">
        <color theme="9" tint="0.39994506668294322"/>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theme="9" tint="0.39994506668294322"/>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9"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4" fillId="0" borderId="0" xfId="0" applyFont="1"/>
    <xf numFmtId="164" fontId="0" fillId="0" borderId="0" xfId="0" applyNumberFormat="1"/>
    <xf numFmtId="3" fontId="0" fillId="0" borderId="0" xfId="0" applyNumberFormat="1"/>
    <xf numFmtId="0" fontId="0" fillId="0" borderId="22" xfId="0" applyBorder="1" applyAlignment="1">
      <alignment horizontal="center"/>
    </xf>
    <xf numFmtId="0" fontId="0" fillId="0" borderId="1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10" xfId="0" applyBorder="1" applyAlignment="1">
      <alignment horizontal="center"/>
    </xf>
    <xf numFmtId="0" fontId="0" fillId="0" borderId="25" xfId="0" applyBorder="1" applyAlignment="1">
      <alignment horizont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6" xfId="0" applyFont="1" applyFill="1" applyBorder="1" applyAlignment="1">
      <alignment horizontal="center" vertical="center"/>
    </xf>
    <xf numFmtId="0" fontId="19" fillId="34" borderId="20" xfId="0" applyFont="1" applyFill="1" applyBorder="1" applyAlignment="1">
      <alignment horizontal="center" vertical="center"/>
    </xf>
    <xf numFmtId="0" fontId="19" fillId="34" borderId="21"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9" xfId="0" applyFont="1" applyFill="1" applyBorder="1" applyAlignment="1">
      <alignment horizontal="center" vertical="center"/>
    </xf>
    <xf numFmtId="0" fontId="20" fillId="35" borderId="18" xfId="0" applyFont="1" applyFill="1" applyBorder="1" applyAlignment="1">
      <alignment horizontal="left" vertical="center"/>
    </xf>
    <xf numFmtId="0" fontId="20" fillId="35" borderId="17" xfId="0" applyFont="1" applyFill="1" applyBorder="1" applyAlignment="1">
      <alignment horizontal="left" vertic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Border="1"/>
    <xf numFmtId="0" fontId="21" fillId="36" borderId="0" xfId="0" applyFont="1" applyFill="1" applyBorder="1" applyAlignment="1">
      <alignment horizontal="left"/>
    </xf>
    <xf numFmtId="0" fontId="21" fillId="36" borderId="0"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164" formatCode="0.0%"/>
    </dxf>
    <dxf>
      <numFmt numFmtId="3" formatCode="#,##0"/>
    </dxf>
    <dxf>
      <numFmt numFmtId="3" formatCode="#,##0"/>
    </dxf>
    <dxf>
      <numFmt numFmtId="0" formatCode="General"/>
    </dxf>
    <dxf>
      <numFmt numFmtId="13" formatCode="0%"/>
    </dxf>
    <dxf>
      <numFmt numFmtId="3" formatCode="#,##0"/>
    </dxf>
    <dxf>
      <numFmt numFmtId="3" formatCode="#,##0"/>
    </dxf>
    <dxf>
      <numFmt numFmtId="3" formatCode="#,##0"/>
    </dxf>
    <dxf>
      <numFmt numFmtId="3" formatCode="#,##0"/>
    </dxf>
    <dxf>
      <numFmt numFmtId="19" formatCode="m/d/yyyy"/>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[monthly_spending_dataset_2020_2025.xlsx]Pivots!inc_vs_expen</c:name>
    <c:fmtId val="3"/>
  </c:pivotSource>
  <c:chart>
    <c:title>
      <c:tx>
        <c:rich>
          <a:bodyPr rot="0" spcFirstLastPara="1" vertOverflow="ellipsis" vert="horz" wrap="square" anchor="ctr" anchorCtr="1"/>
          <a:lstStyle/>
          <a:p>
            <a:pPr>
              <a:defRPr sz="1400" b="0" i="0" u="none" strike="noStrike" kern="1200" cap="none" spc="50" normalizeH="0" baseline="0">
                <a:solidFill>
                  <a:sysClr val="windowText" lastClr="000000"/>
                </a:solidFill>
                <a:latin typeface="+mj-lt"/>
                <a:ea typeface="+mj-ea"/>
                <a:cs typeface="+mj-cs"/>
              </a:defRPr>
            </a:pPr>
            <a:r>
              <a:rPr lang="en-US" sz="1400" b="1">
                <a:latin typeface="+mn-lt"/>
              </a:rPr>
              <a:t>Monthly Income vs Spend vs Surplus</a:t>
            </a:r>
          </a:p>
        </c:rich>
      </c:tx>
      <c:layout>
        <c:manualLayout>
          <c:xMode val="edge"/>
          <c:yMode val="edge"/>
          <c:x val="0.16950499220798343"/>
          <c:y val="6.6558821344503702E-3"/>
        </c:manualLayout>
      </c:layout>
      <c:overlay val="0"/>
      <c:spPr>
        <a:noFill/>
        <a:ln>
          <a:noFill/>
        </a:ln>
        <a:effectLst/>
      </c:spPr>
      <c:txPr>
        <a:bodyPr rot="0" spcFirstLastPara="1" vertOverflow="ellipsis" vert="horz" wrap="square" anchor="ctr" anchorCtr="1"/>
        <a:lstStyle/>
        <a:p>
          <a:pPr>
            <a:defRPr sz="1400" b="0" i="0" u="none" strike="noStrike" kern="1200" cap="none" spc="50" normalizeH="0" baseline="0">
              <a:solidFill>
                <a:sysClr val="windowText" lastClr="00000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0308244812479"/>
          <c:y val="0.20173432131179531"/>
          <c:w val="0.83554433474323353"/>
          <c:h val="0.52138581646676163"/>
        </c:manualLayout>
      </c:layout>
      <c:barChart>
        <c:barDir val="col"/>
        <c:grouping val="clustered"/>
        <c:varyColors val="0"/>
        <c:ser>
          <c:idx val="0"/>
          <c:order val="0"/>
          <c:tx>
            <c:strRef>
              <c:f>Pivots!$B$6</c:f>
              <c:strCache>
                <c:ptCount val="1"/>
                <c:pt idx="0">
                  <c:v>Sum of Income </c:v>
                </c:pt>
              </c:strCache>
            </c:strRef>
          </c:tx>
          <c:spPr>
            <a:solidFill>
              <a:schemeClr val="accent6">
                <a:tint val="65000"/>
                <a:alpha val="70000"/>
              </a:schemeClr>
            </a:solidFill>
            <a:ln>
              <a:noFill/>
            </a:ln>
            <a:effectLst/>
          </c:spPr>
          <c:invertIfNegative val="0"/>
          <c:cat>
            <c:strRef>
              <c:f>Pivots!$A$7:$A$19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Pivots!$B$7:$B$19</c:f>
              <c:numCache>
                <c:formatCode>#,##0</c:formatCode>
                <c:ptCount val="12"/>
                <c:pt idx="0">
                  <c:v>292000</c:v>
                </c:pt>
                <c:pt idx="1">
                  <c:v>292000</c:v>
                </c:pt>
                <c:pt idx="2">
                  <c:v>288000</c:v>
                </c:pt>
                <c:pt idx="3">
                  <c:v>311200</c:v>
                </c:pt>
                <c:pt idx="4">
                  <c:v>311200</c:v>
                </c:pt>
                <c:pt idx="5">
                  <c:v>311200</c:v>
                </c:pt>
                <c:pt idx="6">
                  <c:v>311200</c:v>
                </c:pt>
                <c:pt idx="7">
                  <c:v>311200</c:v>
                </c:pt>
                <c:pt idx="8">
                  <c:v>311200</c:v>
                </c:pt>
                <c:pt idx="9">
                  <c:v>247200</c:v>
                </c:pt>
                <c:pt idx="10">
                  <c:v>247200</c:v>
                </c:pt>
                <c:pt idx="11">
                  <c:v>247200</c:v>
                </c:pt>
              </c:numCache>
            </c:numRef>
          </c:val>
          <c:extLst>
            <c:ext xmlns:c16="http://schemas.microsoft.com/office/drawing/2014/chart" uri="{C3380CC4-5D6E-409C-BE32-E72D297353CC}">
              <c16:uniqueId val="{00000000-B92F-4231-A78F-0960EB9769BB}"/>
            </c:ext>
          </c:extLst>
        </c:ser>
        <c:ser>
          <c:idx val="1"/>
          <c:order val="1"/>
          <c:tx>
            <c:strRef>
              <c:f>Pivots!$C$6</c:f>
              <c:strCache>
                <c:ptCount val="1"/>
                <c:pt idx="0">
                  <c:v>Sum of Total Expenditure </c:v>
                </c:pt>
              </c:strCache>
            </c:strRef>
          </c:tx>
          <c:spPr>
            <a:solidFill>
              <a:schemeClr val="accent6">
                <a:alpha val="70000"/>
              </a:schemeClr>
            </a:solidFill>
            <a:ln>
              <a:noFill/>
            </a:ln>
            <a:effectLst/>
          </c:spPr>
          <c:invertIfNegative val="0"/>
          <c:cat>
            <c:strRef>
              <c:f>Pivots!$A$7:$A$19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#,##0</c:formatCode>
                <c:ptCount val="12"/>
                <c:pt idx="0">
                  <c:v>220830</c:v>
                </c:pt>
                <c:pt idx="1">
                  <c:v>219247</c:v>
                </c:pt>
                <c:pt idx="2">
                  <c:v>220013</c:v>
                </c:pt>
                <c:pt idx="3">
                  <c:v>219204</c:v>
                </c:pt>
                <c:pt idx="4">
                  <c:v>216722</c:v>
                </c:pt>
                <c:pt idx="5">
                  <c:v>218821</c:v>
                </c:pt>
                <c:pt idx="6">
                  <c:v>225486</c:v>
                </c:pt>
                <c:pt idx="7">
                  <c:v>220946</c:v>
                </c:pt>
                <c:pt idx="8">
                  <c:v>223217</c:v>
                </c:pt>
                <c:pt idx="9">
                  <c:v>180178</c:v>
                </c:pt>
                <c:pt idx="10">
                  <c:v>178882</c:v>
                </c:pt>
                <c:pt idx="11">
                  <c:v>189033</c:v>
                </c:pt>
              </c:numCache>
            </c:numRef>
          </c:val>
          <c:extLst>
            <c:ext xmlns:c16="http://schemas.microsoft.com/office/drawing/2014/chart" uri="{C3380CC4-5D6E-409C-BE32-E72D297353CC}">
              <c16:uniqueId val="{00000001-B92F-4231-A78F-0960EB9769BB}"/>
            </c:ext>
          </c:extLst>
        </c:ser>
        <c:ser>
          <c:idx val="2"/>
          <c:order val="2"/>
          <c:tx>
            <c:strRef>
              <c:f>Pivots!$D$6</c:f>
              <c:strCache>
                <c:ptCount val="1"/>
                <c:pt idx="0">
                  <c:v>Sum of Surplus</c:v>
                </c:pt>
              </c:strCache>
            </c:strRef>
          </c:tx>
          <c:spPr>
            <a:solidFill>
              <a:schemeClr val="accent6">
                <a:shade val="65000"/>
                <a:alpha val="70000"/>
              </a:schemeClr>
            </a:solidFill>
            <a:ln>
              <a:noFill/>
            </a:ln>
            <a:effectLst/>
          </c:spPr>
          <c:invertIfNegative val="0"/>
          <c:cat>
            <c:strRef>
              <c:f>Pivots!$A$7:$A$19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Pivots!$D$7:$D$19</c:f>
              <c:numCache>
                <c:formatCode>#,##0</c:formatCode>
                <c:ptCount val="12"/>
                <c:pt idx="0">
                  <c:v>71170</c:v>
                </c:pt>
                <c:pt idx="1">
                  <c:v>72753</c:v>
                </c:pt>
                <c:pt idx="2">
                  <c:v>67987</c:v>
                </c:pt>
                <c:pt idx="3">
                  <c:v>91996</c:v>
                </c:pt>
                <c:pt idx="4">
                  <c:v>94478</c:v>
                </c:pt>
                <c:pt idx="5">
                  <c:v>92379</c:v>
                </c:pt>
                <c:pt idx="6">
                  <c:v>85714</c:v>
                </c:pt>
                <c:pt idx="7">
                  <c:v>90254</c:v>
                </c:pt>
                <c:pt idx="8">
                  <c:v>87983</c:v>
                </c:pt>
                <c:pt idx="9">
                  <c:v>67022</c:v>
                </c:pt>
                <c:pt idx="10">
                  <c:v>68318</c:v>
                </c:pt>
                <c:pt idx="11">
                  <c:v>58167</c:v>
                </c:pt>
              </c:numCache>
            </c:numRef>
          </c:val>
          <c:extLst>
            <c:ext xmlns:c16="http://schemas.microsoft.com/office/drawing/2014/chart" uri="{C3380CC4-5D6E-409C-BE32-E72D297353CC}">
              <c16:uniqueId val="{00000002-B92F-4231-A78F-0960EB9769BB}"/>
            </c:ext>
          </c:extLst>
        </c:ser>
        <c:dLbls>
          <c:showLegendKey val="0"/>
          <c:showVal val="0"/>
          <c:showCatName val="0"/>
          <c:showSerName val="0"/>
          <c:showPercent val="0"/>
          <c:showBubbleSize val="0"/>
        </c:dLbls>
        <c:gapWidth val="80"/>
        <c:overlap val="25"/>
        <c:axId val="1913515280"/>
        <c:axId val="1913515760"/>
      </c:barChart>
      <c:catAx>
        <c:axId val="19135152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ysClr val="windowText" lastClr="000000"/>
                </a:solidFill>
                <a:latin typeface="+mn-lt"/>
                <a:ea typeface="+mn-ea"/>
                <a:cs typeface="+mn-cs"/>
              </a:defRPr>
            </a:pPr>
            <a:endParaRPr lang="en-US"/>
          </a:p>
        </c:txPr>
        <c:crossAx val="1913515760"/>
        <c:crosses val="autoZero"/>
        <c:auto val="1"/>
        <c:lblAlgn val="ctr"/>
        <c:lblOffset val="100"/>
        <c:noMultiLvlLbl val="0"/>
      </c:catAx>
      <c:valAx>
        <c:axId val="19135157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913515280"/>
        <c:crosses val="autoZero"/>
        <c:crossBetween val="between"/>
      </c:valAx>
      <c:spPr>
        <a:noFill/>
        <a:ln>
          <a:noFill/>
        </a:ln>
        <a:effectLst/>
      </c:spPr>
    </c:plotArea>
    <c:legend>
      <c:legendPos val="b"/>
      <c:layout>
        <c:manualLayout>
          <c:xMode val="edge"/>
          <c:yMode val="edge"/>
          <c:x val="5.9740071825622444E-2"/>
          <c:y val="0.86710743545080493"/>
          <c:w val="0.89999989774256484"/>
          <c:h val="0.11881132131955663"/>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6">
          <a:lumMod val="60000"/>
          <a:lumOff val="40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[monthly_spending_dataset_2020_2025.xlsx]Pivots!PivotTable4</c:name>
    <c:fmtId val="4"/>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1">
                <a:solidFill>
                  <a:sysClr val="windowText" lastClr="000000"/>
                </a:solidFill>
              </a:rPr>
              <a:t>Spend by Category</a:t>
            </a:r>
          </a:p>
        </c:rich>
      </c:tx>
      <c:layout>
        <c:manualLayout>
          <c:xMode val="edge"/>
          <c:yMode val="edge"/>
          <c:x val="0.2852050788633626"/>
          <c:y val="2.159844918711008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pivotFmt>
      <c:pivotFmt>
        <c:idx val="6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solidFill>
          <a:ln w="19050">
            <a:solidFill>
              <a:schemeClr val="lt1"/>
            </a:solidFill>
          </a:ln>
          <a:effectLst/>
        </c:spPr>
      </c:pivotFmt>
      <c:pivotFmt>
        <c:idx val="69"/>
        <c:spPr>
          <a:solidFill>
            <a:schemeClr val="accent6"/>
          </a:solidFill>
          <a:ln w="19050">
            <a:solidFill>
              <a:schemeClr val="lt1"/>
            </a:solidFill>
          </a:ln>
          <a:effectLst/>
        </c:spPr>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pivotFmt>
      <c:pivotFmt>
        <c:idx val="73"/>
        <c:spPr>
          <a:solidFill>
            <a:schemeClr val="accent6"/>
          </a:solidFill>
          <a:ln w="19050">
            <a:solidFill>
              <a:schemeClr val="lt1"/>
            </a:solidFill>
          </a:ln>
          <a:effectLst/>
        </c:spPr>
      </c:pivotFmt>
      <c:pivotFmt>
        <c:idx val="74"/>
        <c:spPr>
          <a:solidFill>
            <a:schemeClr val="accent6"/>
          </a:solidFill>
          <a:ln w="19050">
            <a:solidFill>
              <a:schemeClr val="lt1"/>
            </a:solidFill>
          </a:ln>
          <a:effectLst/>
        </c:spPr>
      </c:pivotFmt>
      <c:pivotFmt>
        <c:idx val="75"/>
        <c:spPr>
          <a:solidFill>
            <a:schemeClr val="accent6"/>
          </a:solidFill>
          <a:ln w="19050">
            <a:solidFill>
              <a:schemeClr val="lt1"/>
            </a:solidFill>
          </a:ln>
          <a:effectLst/>
        </c:spPr>
      </c:pivotFmt>
      <c:pivotFmt>
        <c:idx val="76"/>
        <c:spPr>
          <a:solidFill>
            <a:schemeClr val="accent6"/>
          </a:solidFill>
          <a:ln w="19050">
            <a:solidFill>
              <a:schemeClr val="lt1"/>
            </a:solidFill>
          </a:ln>
          <a:effectLst/>
        </c:spPr>
      </c:pivotFmt>
      <c:pivotFmt>
        <c:idx val="77"/>
        <c:spPr>
          <a:solidFill>
            <a:schemeClr val="accent6"/>
          </a:solidFill>
          <a:ln w="19050">
            <a:solidFill>
              <a:schemeClr val="lt1"/>
            </a:solidFill>
          </a:ln>
          <a:effectLst/>
        </c:spPr>
      </c:pivotFmt>
      <c:pivotFmt>
        <c:idx val="7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6"/>
          </a:solidFill>
          <a:ln w="19050">
            <a:solidFill>
              <a:schemeClr val="lt1"/>
            </a:solidFill>
          </a:ln>
          <a:effectLst/>
        </c:spPr>
      </c:pivotFmt>
      <c:pivotFmt>
        <c:idx val="80"/>
        <c:spPr>
          <a:solidFill>
            <a:schemeClr val="accent6"/>
          </a:solidFill>
          <a:ln w="19050">
            <a:solidFill>
              <a:schemeClr val="lt1"/>
            </a:solidFill>
          </a:ln>
          <a:effectLst/>
        </c:spPr>
      </c:pivotFmt>
      <c:pivotFmt>
        <c:idx val="81"/>
        <c:spPr>
          <a:solidFill>
            <a:schemeClr val="accent6"/>
          </a:solidFill>
          <a:ln w="19050">
            <a:solidFill>
              <a:schemeClr val="lt1"/>
            </a:solidFill>
          </a:ln>
          <a:effectLst/>
        </c:spPr>
      </c:pivotFmt>
      <c:pivotFmt>
        <c:idx val="82"/>
        <c:spPr>
          <a:solidFill>
            <a:schemeClr val="accent6"/>
          </a:solidFill>
          <a:ln w="19050">
            <a:solidFill>
              <a:schemeClr val="lt1"/>
            </a:solidFill>
          </a:ln>
          <a:effectLst/>
        </c:spPr>
      </c:pivotFmt>
      <c:pivotFmt>
        <c:idx val="83"/>
        <c:spPr>
          <a:solidFill>
            <a:schemeClr val="accent6"/>
          </a:solidFill>
          <a:ln w="19050">
            <a:solidFill>
              <a:schemeClr val="lt1"/>
            </a:solidFill>
          </a:ln>
          <a:effectLst/>
        </c:spPr>
      </c:pivotFmt>
      <c:pivotFmt>
        <c:idx val="84"/>
        <c:spPr>
          <a:solidFill>
            <a:schemeClr val="accent6"/>
          </a:solidFill>
          <a:ln w="19050">
            <a:solidFill>
              <a:schemeClr val="lt1"/>
            </a:solidFill>
          </a:ln>
          <a:effectLst/>
        </c:spPr>
      </c:pivotFmt>
      <c:pivotFmt>
        <c:idx val="85"/>
        <c:spPr>
          <a:solidFill>
            <a:schemeClr val="accent6"/>
          </a:solidFill>
          <a:ln w="19050">
            <a:solidFill>
              <a:schemeClr val="lt1"/>
            </a:solidFill>
          </a:ln>
          <a:effectLst/>
        </c:spPr>
      </c:pivotFmt>
      <c:pivotFmt>
        <c:idx val="86"/>
        <c:spPr>
          <a:solidFill>
            <a:schemeClr val="accent6"/>
          </a:solidFill>
          <a:ln w="19050">
            <a:solidFill>
              <a:schemeClr val="lt1"/>
            </a:solidFill>
          </a:ln>
          <a:effectLst/>
        </c:spPr>
      </c:pivotFmt>
      <c:pivotFmt>
        <c:idx val="87"/>
        <c:spPr>
          <a:solidFill>
            <a:schemeClr val="accent6"/>
          </a:solidFill>
          <a:ln w="19050">
            <a:solidFill>
              <a:schemeClr val="lt1"/>
            </a:solidFill>
          </a:ln>
          <a:effectLst/>
        </c:spPr>
      </c:pivotFmt>
      <c:pivotFmt>
        <c:idx val="88"/>
        <c:spPr>
          <a:solidFill>
            <a:schemeClr val="accent6"/>
          </a:solidFill>
          <a:ln w="19050">
            <a:solidFill>
              <a:schemeClr val="lt1"/>
            </a:solidFill>
          </a:ln>
          <a:effectLst/>
        </c:spPr>
      </c:pivotFmt>
      <c:pivotFmt>
        <c:idx val="8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6"/>
          </a:solidFill>
          <a:ln w="19050">
            <a:solidFill>
              <a:schemeClr val="lt1"/>
            </a:solidFill>
          </a:ln>
          <a:effectLst/>
        </c:spPr>
      </c:pivotFmt>
      <c:pivotFmt>
        <c:idx val="91"/>
        <c:spPr>
          <a:solidFill>
            <a:schemeClr val="accent6"/>
          </a:solidFill>
          <a:ln w="19050">
            <a:solidFill>
              <a:schemeClr val="lt1"/>
            </a:solidFill>
          </a:ln>
          <a:effectLst/>
        </c:spPr>
      </c:pivotFmt>
      <c:pivotFmt>
        <c:idx val="92"/>
        <c:spPr>
          <a:solidFill>
            <a:schemeClr val="accent6"/>
          </a:solidFill>
          <a:ln w="19050">
            <a:solidFill>
              <a:schemeClr val="lt1"/>
            </a:solidFill>
          </a:ln>
          <a:effectLst/>
        </c:spPr>
      </c:pivotFmt>
      <c:pivotFmt>
        <c:idx val="93"/>
        <c:spPr>
          <a:solidFill>
            <a:schemeClr val="accent6"/>
          </a:solidFill>
          <a:ln w="19050">
            <a:solidFill>
              <a:schemeClr val="lt1"/>
            </a:solidFill>
          </a:ln>
          <a:effectLst/>
        </c:spPr>
      </c:pivotFmt>
      <c:pivotFmt>
        <c:idx val="94"/>
        <c:spPr>
          <a:solidFill>
            <a:schemeClr val="accent6"/>
          </a:solidFill>
          <a:ln w="19050">
            <a:solidFill>
              <a:schemeClr val="lt1"/>
            </a:solidFill>
          </a:ln>
          <a:effectLst/>
        </c:spPr>
      </c:pivotFmt>
      <c:pivotFmt>
        <c:idx val="95"/>
        <c:spPr>
          <a:solidFill>
            <a:schemeClr val="accent6"/>
          </a:solidFill>
          <a:ln w="19050">
            <a:solidFill>
              <a:schemeClr val="lt1"/>
            </a:solidFill>
          </a:ln>
          <a:effectLst/>
        </c:spPr>
      </c:pivotFmt>
      <c:pivotFmt>
        <c:idx val="96"/>
        <c:spPr>
          <a:solidFill>
            <a:schemeClr val="accent6"/>
          </a:solidFill>
          <a:ln w="19050">
            <a:solidFill>
              <a:schemeClr val="lt1"/>
            </a:solidFill>
          </a:ln>
          <a:effectLst/>
        </c:spPr>
      </c:pivotFmt>
      <c:pivotFmt>
        <c:idx val="97"/>
        <c:spPr>
          <a:solidFill>
            <a:schemeClr val="accent6"/>
          </a:solidFill>
          <a:ln w="19050">
            <a:solidFill>
              <a:schemeClr val="lt1"/>
            </a:solidFill>
          </a:ln>
          <a:effectLst/>
        </c:spPr>
      </c:pivotFmt>
      <c:pivotFmt>
        <c:idx val="98"/>
        <c:spPr>
          <a:solidFill>
            <a:schemeClr val="accent6"/>
          </a:solidFill>
          <a:ln w="19050">
            <a:solidFill>
              <a:schemeClr val="lt1"/>
            </a:solidFill>
          </a:ln>
          <a:effectLst/>
        </c:spPr>
      </c:pivotFmt>
      <c:pivotFmt>
        <c:idx val="99"/>
        <c:spPr>
          <a:solidFill>
            <a:schemeClr val="accent6"/>
          </a:solidFill>
          <a:ln w="19050">
            <a:solidFill>
              <a:schemeClr val="lt1"/>
            </a:solidFill>
          </a:ln>
          <a:effectLst/>
        </c:spPr>
      </c:pivotFmt>
      <c:pivotFmt>
        <c:idx val="10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6"/>
          </a:solidFill>
          <a:ln w="19050">
            <a:solidFill>
              <a:schemeClr val="lt1"/>
            </a:solidFill>
          </a:ln>
          <a:effectLst/>
        </c:spPr>
      </c:pivotFmt>
      <c:pivotFmt>
        <c:idx val="102"/>
        <c:spPr>
          <a:solidFill>
            <a:schemeClr val="accent6"/>
          </a:solidFill>
          <a:ln w="19050">
            <a:solidFill>
              <a:schemeClr val="lt1"/>
            </a:solidFill>
          </a:ln>
          <a:effectLst/>
        </c:spPr>
      </c:pivotFmt>
      <c:pivotFmt>
        <c:idx val="103"/>
        <c:spPr>
          <a:solidFill>
            <a:schemeClr val="accent6"/>
          </a:solidFill>
          <a:ln w="19050">
            <a:solidFill>
              <a:schemeClr val="lt1"/>
            </a:solidFill>
          </a:ln>
          <a:effectLst/>
        </c:spPr>
      </c:pivotFmt>
      <c:pivotFmt>
        <c:idx val="104"/>
        <c:spPr>
          <a:solidFill>
            <a:schemeClr val="accent6"/>
          </a:solidFill>
          <a:ln w="19050">
            <a:solidFill>
              <a:schemeClr val="lt1"/>
            </a:solidFill>
          </a:ln>
          <a:effectLst/>
        </c:spPr>
      </c:pivotFmt>
      <c:pivotFmt>
        <c:idx val="105"/>
        <c:spPr>
          <a:solidFill>
            <a:schemeClr val="accent6"/>
          </a:solidFill>
          <a:ln w="19050">
            <a:solidFill>
              <a:schemeClr val="lt1"/>
            </a:solidFill>
          </a:ln>
          <a:effectLst/>
        </c:spPr>
      </c:pivotFmt>
      <c:pivotFmt>
        <c:idx val="106"/>
        <c:spPr>
          <a:solidFill>
            <a:schemeClr val="accent6"/>
          </a:solidFill>
          <a:ln w="19050">
            <a:solidFill>
              <a:schemeClr val="lt1"/>
            </a:solidFill>
          </a:ln>
          <a:effectLst/>
        </c:spPr>
      </c:pivotFmt>
      <c:pivotFmt>
        <c:idx val="107"/>
        <c:spPr>
          <a:solidFill>
            <a:schemeClr val="accent6"/>
          </a:solidFill>
          <a:ln w="19050">
            <a:solidFill>
              <a:schemeClr val="lt1"/>
            </a:solidFill>
          </a:ln>
          <a:effectLst/>
        </c:spPr>
      </c:pivotFmt>
      <c:pivotFmt>
        <c:idx val="108"/>
        <c:spPr>
          <a:solidFill>
            <a:schemeClr val="accent6"/>
          </a:solidFill>
          <a:ln w="19050">
            <a:solidFill>
              <a:schemeClr val="lt1"/>
            </a:solidFill>
          </a:ln>
          <a:effectLst/>
        </c:spPr>
      </c:pivotFmt>
      <c:pivotFmt>
        <c:idx val="109"/>
        <c:spPr>
          <a:solidFill>
            <a:schemeClr val="accent6"/>
          </a:solidFill>
          <a:ln w="19050">
            <a:solidFill>
              <a:schemeClr val="lt1"/>
            </a:solidFill>
          </a:ln>
          <a:effectLst/>
        </c:spPr>
      </c:pivotFmt>
      <c:pivotFmt>
        <c:idx val="110"/>
        <c:spPr>
          <a:solidFill>
            <a:schemeClr val="accent6"/>
          </a:solidFill>
          <a:ln w="19050">
            <a:solidFill>
              <a:schemeClr val="lt1"/>
            </a:solidFill>
          </a:ln>
          <a:effectLst/>
        </c:spPr>
      </c:pivotFmt>
      <c:pivotFmt>
        <c:idx val="1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6"/>
          </a:solidFill>
          <a:ln w="19050">
            <a:solidFill>
              <a:schemeClr val="lt1"/>
            </a:solidFill>
          </a:ln>
          <a:effectLst/>
        </c:spPr>
      </c:pivotFmt>
      <c:pivotFmt>
        <c:idx val="113"/>
        <c:spPr>
          <a:solidFill>
            <a:schemeClr val="accent6"/>
          </a:solidFill>
          <a:ln w="19050">
            <a:solidFill>
              <a:schemeClr val="lt1"/>
            </a:solidFill>
          </a:ln>
          <a:effectLst/>
        </c:spPr>
      </c:pivotFmt>
      <c:pivotFmt>
        <c:idx val="114"/>
        <c:spPr>
          <a:solidFill>
            <a:schemeClr val="accent6"/>
          </a:solidFill>
          <a:ln w="19050">
            <a:solidFill>
              <a:schemeClr val="lt1"/>
            </a:solidFill>
          </a:ln>
          <a:effectLst/>
        </c:spPr>
      </c:pivotFmt>
      <c:pivotFmt>
        <c:idx val="115"/>
        <c:spPr>
          <a:solidFill>
            <a:schemeClr val="accent6"/>
          </a:solidFill>
          <a:ln w="19050">
            <a:solidFill>
              <a:schemeClr val="lt1"/>
            </a:solidFill>
          </a:ln>
          <a:effectLst/>
        </c:spPr>
      </c:pivotFmt>
      <c:pivotFmt>
        <c:idx val="116"/>
        <c:spPr>
          <a:solidFill>
            <a:schemeClr val="accent6"/>
          </a:solidFill>
          <a:ln w="19050">
            <a:solidFill>
              <a:schemeClr val="lt1"/>
            </a:solidFill>
          </a:ln>
          <a:effectLst/>
        </c:spPr>
      </c:pivotFmt>
      <c:pivotFmt>
        <c:idx val="117"/>
        <c:spPr>
          <a:solidFill>
            <a:schemeClr val="accent6"/>
          </a:solidFill>
          <a:ln w="19050">
            <a:solidFill>
              <a:schemeClr val="lt1"/>
            </a:solidFill>
          </a:ln>
          <a:effectLst/>
        </c:spPr>
      </c:pivotFmt>
      <c:pivotFmt>
        <c:idx val="118"/>
        <c:spPr>
          <a:solidFill>
            <a:schemeClr val="accent6"/>
          </a:solidFill>
          <a:ln w="19050">
            <a:solidFill>
              <a:schemeClr val="lt1"/>
            </a:solidFill>
          </a:ln>
          <a:effectLst/>
        </c:spPr>
      </c:pivotFmt>
      <c:pivotFmt>
        <c:idx val="119"/>
        <c:spPr>
          <a:solidFill>
            <a:schemeClr val="accent6"/>
          </a:solidFill>
          <a:ln w="19050">
            <a:solidFill>
              <a:schemeClr val="lt1"/>
            </a:solidFill>
          </a:ln>
          <a:effectLst/>
        </c:spPr>
      </c:pivotFmt>
      <c:pivotFmt>
        <c:idx val="120"/>
        <c:spPr>
          <a:solidFill>
            <a:schemeClr val="accent6"/>
          </a:solidFill>
          <a:ln w="19050">
            <a:solidFill>
              <a:schemeClr val="lt1"/>
            </a:solidFill>
          </a:ln>
          <a:effectLst/>
        </c:spPr>
      </c:pivotFmt>
      <c:pivotFmt>
        <c:idx val="121"/>
        <c:spPr>
          <a:solidFill>
            <a:schemeClr val="accent6"/>
          </a:solidFill>
          <a:ln w="19050">
            <a:solidFill>
              <a:schemeClr val="lt1"/>
            </a:solidFill>
          </a:ln>
          <a:effectLst/>
        </c:spPr>
      </c:pivotFmt>
      <c:pivotFmt>
        <c:idx val="12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6"/>
          </a:solidFill>
          <a:ln w="19050">
            <a:solidFill>
              <a:schemeClr val="lt1"/>
            </a:solidFill>
          </a:ln>
          <a:effectLst/>
        </c:spPr>
      </c:pivotFmt>
      <c:pivotFmt>
        <c:idx val="124"/>
        <c:spPr>
          <a:solidFill>
            <a:schemeClr val="accent6"/>
          </a:solidFill>
          <a:ln w="19050">
            <a:solidFill>
              <a:schemeClr val="lt1"/>
            </a:solidFill>
          </a:ln>
          <a:effectLst/>
        </c:spPr>
      </c:pivotFmt>
      <c:pivotFmt>
        <c:idx val="125"/>
        <c:spPr>
          <a:solidFill>
            <a:schemeClr val="accent6"/>
          </a:solidFill>
          <a:ln w="19050">
            <a:solidFill>
              <a:schemeClr val="lt1"/>
            </a:solidFill>
          </a:ln>
          <a:effectLst/>
        </c:spPr>
      </c:pivotFmt>
      <c:pivotFmt>
        <c:idx val="126"/>
        <c:spPr>
          <a:solidFill>
            <a:schemeClr val="accent6"/>
          </a:solidFill>
          <a:ln w="19050">
            <a:solidFill>
              <a:schemeClr val="lt1"/>
            </a:solidFill>
          </a:ln>
          <a:effectLst/>
        </c:spPr>
      </c:pivotFmt>
      <c:pivotFmt>
        <c:idx val="127"/>
        <c:spPr>
          <a:solidFill>
            <a:schemeClr val="accent6"/>
          </a:solidFill>
          <a:ln w="19050">
            <a:solidFill>
              <a:schemeClr val="lt1"/>
            </a:solidFill>
          </a:ln>
          <a:effectLst/>
        </c:spPr>
      </c:pivotFmt>
      <c:pivotFmt>
        <c:idx val="128"/>
        <c:spPr>
          <a:solidFill>
            <a:schemeClr val="accent6"/>
          </a:solidFill>
          <a:ln w="19050">
            <a:solidFill>
              <a:schemeClr val="lt1"/>
            </a:solidFill>
          </a:ln>
          <a:effectLst/>
        </c:spPr>
      </c:pivotFmt>
      <c:pivotFmt>
        <c:idx val="129"/>
        <c:spPr>
          <a:solidFill>
            <a:schemeClr val="accent6"/>
          </a:solidFill>
          <a:ln w="19050">
            <a:solidFill>
              <a:schemeClr val="lt1"/>
            </a:solidFill>
          </a:ln>
          <a:effectLst/>
        </c:spPr>
      </c:pivotFmt>
      <c:pivotFmt>
        <c:idx val="130"/>
        <c:spPr>
          <a:solidFill>
            <a:schemeClr val="accent6"/>
          </a:solidFill>
          <a:ln w="19050">
            <a:solidFill>
              <a:schemeClr val="lt1"/>
            </a:solidFill>
          </a:ln>
          <a:effectLst/>
        </c:spPr>
      </c:pivotFmt>
      <c:pivotFmt>
        <c:idx val="131"/>
        <c:spPr>
          <a:solidFill>
            <a:schemeClr val="accent6"/>
          </a:solidFill>
          <a:ln w="19050">
            <a:solidFill>
              <a:schemeClr val="lt1"/>
            </a:solidFill>
          </a:ln>
          <a:effectLst/>
        </c:spPr>
      </c:pivotFmt>
      <c:pivotFmt>
        <c:idx val="132"/>
        <c:spPr>
          <a:solidFill>
            <a:schemeClr val="accent6"/>
          </a:solidFill>
          <a:ln w="19050">
            <a:solidFill>
              <a:schemeClr val="lt1"/>
            </a:solidFill>
          </a:ln>
          <a:effectLst/>
        </c:spPr>
      </c:pivotFmt>
      <c:pivotFmt>
        <c:idx val="13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6"/>
          </a:solidFill>
          <a:ln w="19050">
            <a:solidFill>
              <a:schemeClr val="lt1"/>
            </a:solidFill>
          </a:ln>
          <a:effectLst/>
        </c:spPr>
      </c:pivotFmt>
      <c:pivotFmt>
        <c:idx val="135"/>
        <c:spPr>
          <a:solidFill>
            <a:schemeClr val="accent6"/>
          </a:solidFill>
          <a:ln w="19050">
            <a:solidFill>
              <a:schemeClr val="lt1"/>
            </a:solidFill>
          </a:ln>
          <a:effectLst/>
        </c:spPr>
      </c:pivotFmt>
      <c:pivotFmt>
        <c:idx val="136"/>
        <c:spPr>
          <a:solidFill>
            <a:schemeClr val="accent6"/>
          </a:solidFill>
          <a:ln w="19050">
            <a:solidFill>
              <a:schemeClr val="lt1"/>
            </a:solidFill>
          </a:ln>
          <a:effectLst/>
        </c:spPr>
      </c:pivotFmt>
      <c:pivotFmt>
        <c:idx val="137"/>
        <c:spPr>
          <a:solidFill>
            <a:schemeClr val="accent6"/>
          </a:solidFill>
          <a:ln w="19050">
            <a:solidFill>
              <a:schemeClr val="lt1"/>
            </a:solidFill>
          </a:ln>
          <a:effectLst/>
        </c:spPr>
      </c:pivotFmt>
      <c:pivotFmt>
        <c:idx val="138"/>
        <c:spPr>
          <a:solidFill>
            <a:schemeClr val="accent6"/>
          </a:solidFill>
          <a:ln w="19050">
            <a:solidFill>
              <a:schemeClr val="lt1"/>
            </a:solidFill>
          </a:ln>
          <a:effectLst/>
        </c:spPr>
      </c:pivotFmt>
      <c:pivotFmt>
        <c:idx val="139"/>
        <c:spPr>
          <a:solidFill>
            <a:schemeClr val="accent6"/>
          </a:solidFill>
          <a:ln w="19050">
            <a:solidFill>
              <a:schemeClr val="lt1"/>
            </a:solidFill>
          </a:ln>
          <a:effectLst/>
        </c:spPr>
      </c:pivotFmt>
      <c:pivotFmt>
        <c:idx val="140"/>
        <c:spPr>
          <a:solidFill>
            <a:schemeClr val="accent6"/>
          </a:solidFill>
          <a:ln w="19050">
            <a:solidFill>
              <a:schemeClr val="lt1"/>
            </a:solidFill>
          </a:ln>
          <a:effectLst/>
        </c:spPr>
      </c:pivotFmt>
      <c:pivotFmt>
        <c:idx val="141"/>
        <c:spPr>
          <a:solidFill>
            <a:schemeClr val="accent6"/>
          </a:solidFill>
          <a:ln w="19050">
            <a:solidFill>
              <a:schemeClr val="lt1"/>
            </a:solidFill>
          </a:ln>
          <a:effectLst/>
        </c:spPr>
      </c:pivotFmt>
      <c:pivotFmt>
        <c:idx val="142"/>
        <c:spPr>
          <a:solidFill>
            <a:schemeClr val="accent6"/>
          </a:solidFill>
          <a:ln w="19050">
            <a:solidFill>
              <a:schemeClr val="lt1"/>
            </a:solidFill>
          </a:ln>
          <a:effectLst/>
        </c:spPr>
      </c:pivotFmt>
      <c:pivotFmt>
        <c:idx val="143"/>
        <c:spPr>
          <a:solidFill>
            <a:schemeClr val="accent6"/>
          </a:solidFill>
          <a:ln w="19050">
            <a:solidFill>
              <a:schemeClr val="lt1"/>
            </a:solidFill>
          </a:ln>
          <a:effectLst/>
        </c:spPr>
      </c:pivotFmt>
      <c:pivotFmt>
        <c:idx val="14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45"/>
        <c:spPr>
          <a:solidFill>
            <a:schemeClr val="accent6">
              <a:tint val="43000"/>
            </a:schemeClr>
          </a:solidFill>
          <a:ln w="19050">
            <a:solidFill>
              <a:schemeClr val="lt1"/>
            </a:solidFill>
          </a:ln>
          <a:effectLst/>
        </c:spPr>
        <c:dLbl>
          <c:idx val="0"/>
          <c:layout>
            <c:manualLayout>
              <c:x val="9.8484730989345046E-3"/>
              <c:y val="2.820854641516482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41363587015524916"/>
                  <c:h val="0.12649813681719743"/>
                </c:manualLayout>
              </c15:layout>
            </c:ext>
          </c:extLst>
        </c:dLbl>
      </c:pivotFmt>
      <c:pivotFmt>
        <c:idx val="146"/>
        <c:spPr>
          <a:solidFill>
            <a:schemeClr val="accent6">
              <a:tint val="56000"/>
            </a:schemeClr>
          </a:solidFill>
          <a:ln w="19050">
            <a:solidFill>
              <a:schemeClr val="lt1"/>
            </a:solidFill>
          </a:ln>
          <a:effectLst/>
        </c:spPr>
        <c:dLbl>
          <c:idx val="0"/>
          <c:layout>
            <c:manualLayout>
              <c:x val="0.10845378972346728"/>
              <c:y val="0.1086672690278431"/>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47"/>
        <c:spPr>
          <a:solidFill>
            <a:schemeClr val="accent6">
              <a:tint val="69000"/>
            </a:schemeClr>
          </a:solidFill>
          <a:ln w="19050">
            <a:solidFill>
              <a:schemeClr val="lt1"/>
            </a:solidFill>
          </a:ln>
          <a:effectLst/>
        </c:spPr>
      </c:pivotFmt>
      <c:pivotFmt>
        <c:idx val="148"/>
        <c:spPr>
          <a:solidFill>
            <a:schemeClr val="accent6">
              <a:tint val="81000"/>
            </a:schemeClr>
          </a:solidFill>
          <a:ln w="19050">
            <a:solidFill>
              <a:schemeClr val="lt1"/>
            </a:solidFill>
          </a:ln>
          <a:effectLst/>
        </c:spPr>
      </c:pivotFmt>
      <c:pivotFmt>
        <c:idx val="149"/>
        <c:spPr>
          <a:solidFill>
            <a:schemeClr val="accent6">
              <a:tint val="94000"/>
            </a:schemeClr>
          </a:solidFill>
          <a:ln w="19050">
            <a:solidFill>
              <a:schemeClr val="lt1"/>
            </a:solidFill>
          </a:ln>
          <a:effectLst/>
        </c:spPr>
      </c:pivotFmt>
      <c:pivotFmt>
        <c:idx val="150"/>
        <c:spPr>
          <a:solidFill>
            <a:schemeClr val="accent6">
              <a:shade val="93000"/>
            </a:schemeClr>
          </a:solidFill>
          <a:ln w="19050">
            <a:solidFill>
              <a:schemeClr val="lt1"/>
            </a:solidFill>
          </a:ln>
          <a:effectLst/>
        </c:spPr>
      </c:pivotFmt>
      <c:pivotFmt>
        <c:idx val="151"/>
        <c:spPr>
          <a:solidFill>
            <a:schemeClr val="accent6">
              <a:shade val="80000"/>
            </a:schemeClr>
          </a:solidFill>
          <a:ln w="19050">
            <a:solidFill>
              <a:schemeClr val="lt1"/>
            </a:solidFill>
          </a:ln>
          <a:effectLst/>
        </c:spPr>
      </c:pivotFmt>
      <c:pivotFmt>
        <c:idx val="152"/>
        <c:spPr>
          <a:solidFill>
            <a:schemeClr val="accent6">
              <a:shade val="68000"/>
            </a:schemeClr>
          </a:solidFill>
          <a:ln w="19050">
            <a:solidFill>
              <a:schemeClr val="lt1"/>
            </a:solidFill>
          </a:ln>
          <a:effectLst/>
        </c:spPr>
        <c:dLbl>
          <c:idx val="0"/>
          <c:layout>
            <c:manualLayout>
              <c:x val="-3.8592831552336497E-2"/>
              <c:y val="0.1333939968740111"/>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53"/>
        <c:spPr>
          <a:solidFill>
            <a:schemeClr val="accent6">
              <a:shade val="55000"/>
            </a:schemeClr>
          </a:solidFill>
          <a:ln w="19050">
            <a:solidFill>
              <a:schemeClr val="lt1"/>
            </a:solidFill>
          </a:ln>
          <a:effectLst/>
        </c:spPr>
        <c:dLbl>
          <c:idx val="0"/>
          <c:layout>
            <c:manualLayout>
              <c:x val="-5.9090644726026334E-2"/>
              <c:y val="6.137123110198664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99049079885432"/>
                  <c:h val="0.10468811322802546"/>
                </c:manualLayout>
              </c15:layout>
            </c:ext>
          </c:extLst>
        </c:dLbl>
      </c:pivotFmt>
      <c:pivotFmt>
        <c:idx val="154"/>
        <c:spPr>
          <a:solidFill>
            <a:schemeClr val="accent6">
              <a:shade val="42000"/>
            </a:schemeClr>
          </a:solidFill>
          <a:ln w="19050">
            <a:solidFill>
              <a:schemeClr val="lt1"/>
            </a:solidFill>
          </a:ln>
          <a:effectLst/>
        </c:spPr>
        <c:dLbl>
          <c:idx val="0"/>
          <c:layout>
            <c:manualLayout>
              <c:x val="-0.1149861578547389"/>
              <c:y val="3.632805755922823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5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56"/>
        <c:spPr>
          <a:solidFill>
            <a:schemeClr val="accent6">
              <a:tint val="43000"/>
            </a:schemeClr>
          </a:solidFill>
          <a:ln w="19050">
            <a:solidFill>
              <a:schemeClr val="lt1"/>
            </a:solidFill>
          </a:ln>
          <a:effectLst/>
        </c:spPr>
      </c:pivotFmt>
      <c:pivotFmt>
        <c:idx val="157"/>
        <c:spPr>
          <a:solidFill>
            <a:schemeClr val="accent6">
              <a:tint val="56000"/>
            </a:schemeClr>
          </a:solidFill>
          <a:ln w="19050">
            <a:solidFill>
              <a:schemeClr val="lt1"/>
            </a:solidFill>
          </a:ln>
          <a:effectLst/>
        </c:spPr>
      </c:pivotFmt>
      <c:pivotFmt>
        <c:idx val="158"/>
        <c:spPr>
          <a:solidFill>
            <a:schemeClr val="accent6">
              <a:tint val="69000"/>
            </a:schemeClr>
          </a:solidFill>
          <a:ln w="19050">
            <a:solidFill>
              <a:schemeClr val="lt1"/>
            </a:solidFill>
          </a:ln>
          <a:effectLst/>
        </c:spPr>
      </c:pivotFmt>
      <c:pivotFmt>
        <c:idx val="159"/>
        <c:spPr>
          <a:solidFill>
            <a:schemeClr val="accent6">
              <a:tint val="81000"/>
            </a:schemeClr>
          </a:solidFill>
          <a:ln w="19050">
            <a:solidFill>
              <a:schemeClr val="lt1"/>
            </a:solidFill>
          </a:ln>
          <a:effectLst/>
        </c:spPr>
      </c:pivotFmt>
      <c:pivotFmt>
        <c:idx val="160"/>
        <c:spPr>
          <a:solidFill>
            <a:schemeClr val="accent6">
              <a:tint val="94000"/>
            </a:schemeClr>
          </a:solidFill>
          <a:ln w="19050">
            <a:solidFill>
              <a:schemeClr val="lt1"/>
            </a:solidFill>
          </a:ln>
          <a:effectLst/>
        </c:spPr>
      </c:pivotFmt>
      <c:pivotFmt>
        <c:idx val="161"/>
        <c:spPr>
          <a:solidFill>
            <a:schemeClr val="accent6">
              <a:shade val="93000"/>
            </a:schemeClr>
          </a:solidFill>
          <a:ln w="19050">
            <a:solidFill>
              <a:schemeClr val="lt1"/>
            </a:solidFill>
          </a:ln>
          <a:effectLst/>
        </c:spPr>
      </c:pivotFmt>
      <c:pivotFmt>
        <c:idx val="162"/>
        <c:spPr>
          <a:solidFill>
            <a:schemeClr val="accent6">
              <a:shade val="80000"/>
            </a:schemeClr>
          </a:solidFill>
          <a:ln w="19050">
            <a:solidFill>
              <a:schemeClr val="lt1"/>
            </a:solidFill>
          </a:ln>
          <a:effectLst/>
        </c:spPr>
      </c:pivotFmt>
      <c:pivotFmt>
        <c:idx val="163"/>
        <c:spPr>
          <a:solidFill>
            <a:schemeClr val="accent6">
              <a:shade val="68000"/>
            </a:schemeClr>
          </a:solidFill>
          <a:ln w="19050">
            <a:solidFill>
              <a:schemeClr val="lt1"/>
            </a:solidFill>
          </a:ln>
          <a:effectLst/>
        </c:spPr>
      </c:pivotFmt>
      <c:pivotFmt>
        <c:idx val="164"/>
        <c:spPr>
          <a:solidFill>
            <a:schemeClr val="accent6">
              <a:shade val="55000"/>
            </a:schemeClr>
          </a:solidFill>
          <a:ln w="19050">
            <a:solidFill>
              <a:schemeClr val="lt1"/>
            </a:solidFill>
          </a:ln>
          <a:effectLst/>
        </c:spPr>
      </c:pivotFmt>
      <c:pivotFmt>
        <c:idx val="165"/>
        <c:spPr>
          <a:solidFill>
            <a:schemeClr val="accent6">
              <a:shade val="42000"/>
            </a:schemeClr>
          </a:solidFill>
          <a:ln w="19050">
            <a:solidFill>
              <a:schemeClr val="lt1"/>
            </a:solidFill>
          </a:ln>
          <a:effectLst/>
        </c:spPr>
      </c:pivotFmt>
      <c:pivotFmt>
        <c:idx val="16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67"/>
        <c:spPr>
          <a:solidFill>
            <a:schemeClr val="accent6">
              <a:tint val="43000"/>
            </a:schemeClr>
          </a:solidFill>
          <a:ln w="19050">
            <a:solidFill>
              <a:schemeClr val="lt1"/>
            </a:solidFill>
          </a:ln>
          <a:effectLst/>
        </c:spPr>
      </c:pivotFmt>
      <c:pivotFmt>
        <c:idx val="168"/>
        <c:spPr>
          <a:solidFill>
            <a:schemeClr val="accent6">
              <a:tint val="56000"/>
            </a:schemeClr>
          </a:solidFill>
          <a:ln w="19050">
            <a:solidFill>
              <a:schemeClr val="lt1"/>
            </a:solidFill>
          </a:ln>
          <a:effectLst/>
        </c:spPr>
      </c:pivotFmt>
      <c:pivotFmt>
        <c:idx val="169"/>
        <c:spPr>
          <a:solidFill>
            <a:schemeClr val="accent6">
              <a:tint val="69000"/>
            </a:schemeClr>
          </a:solidFill>
          <a:ln w="19050">
            <a:solidFill>
              <a:schemeClr val="lt1"/>
            </a:solidFill>
          </a:ln>
          <a:effectLst/>
        </c:spPr>
      </c:pivotFmt>
      <c:pivotFmt>
        <c:idx val="170"/>
        <c:spPr>
          <a:solidFill>
            <a:schemeClr val="accent6">
              <a:tint val="81000"/>
            </a:schemeClr>
          </a:solidFill>
          <a:ln w="19050">
            <a:solidFill>
              <a:schemeClr val="lt1"/>
            </a:solidFill>
          </a:ln>
          <a:effectLst/>
        </c:spPr>
      </c:pivotFmt>
      <c:pivotFmt>
        <c:idx val="171"/>
        <c:spPr>
          <a:solidFill>
            <a:schemeClr val="accent6">
              <a:tint val="94000"/>
            </a:schemeClr>
          </a:solidFill>
          <a:ln w="19050">
            <a:solidFill>
              <a:schemeClr val="lt1"/>
            </a:solidFill>
          </a:ln>
          <a:effectLst/>
        </c:spPr>
      </c:pivotFmt>
      <c:pivotFmt>
        <c:idx val="172"/>
        <c:spPr>
          <a:solidFill>
            <a:schemeClr val="accent6">
              <a:shade val="93000"/>
            </a:schemeClr>
          </a:solidFill>
          <a:ln w="19050">
            <a:solidFill>
              <a:schemeClr val="lt1"/>
            </a:solidFill>
          </a:ln>
          <a:effectLst/>
        </c:spPr>
      </c:pivotFmt>
      <c:pivotFmt>
        <c:idx val="173"/>
        <c:spPr>
          <a:solidFill>
            <a:schemeClr val="accent6">
              <a:shade val="80000"/>
            </a:schemeClr>
          </a:solidFill>
          <a:ln w="19050">
            <a:solidFill>
              <a:schemeClr val="lt1"/>
            </a:solidFill>
          </a:ln>
          <a:effectLst/>
        </c:spPr>
      </c:pivotFmt>
      <c:pivotFmt>
        <c:idx val="174"/>
        <c:spPr>
          <a:solidFill>
            <a:schemeClr val="accent6">
              <a:shade val="68000"/>
            </a:schemeClr>
          </a:solidFill>
          <a:ln w="19050">
            <a:solidFill>
              <a:schemeClr val="lt1"/>
            </a:solidFill>
          </a:ln>
          <a:effectLst/>
        </c:spPr>
      </c:pivotFmt>
      <c:pivotFmt>
        <c:idx val="175"/>
        <c:spPr>
          <a:solidFill>
            <a:schemeClr val="accent6">
              <a:shade val="55000"/>
            </a:schemeClr>
          </a:solidFill>
          <a:ln w="19050">
            <a:solidFill>
              <a:schemeClr val="lt1"/>
            </a:solidFill>
          </a:ln>
          <a:effectLst/>
        </c:spPr>
      </c:pivotFmt>
      <c:pivotFmt>
        <c:idx val="176"/>
        <c:spPr>
          <a:solidFill>
            <a:schemeClr val="accent6">
              <a:shade val="42000"/>
            </a:schemeClr>
          </a:solidFill>
          <a:ln w="19050">
            <a:solidFill>
              <a:schemeClr val="lt1"/>
            </a:solidFill>
          </a:ln>
          <a:effectLst/>
        </c:spPr>
      </c:pivotFmt>
      <c:pivotFmt>
        <c:idx val="17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78"/>
        <c:spPr>
          <a:solidFill>
            <a:schemeClr val="accent6">
              <a:tint val="43000"/>
            </a:schemeClr>
          </a:solidFill>
          <a:ln w="19050">
            <a:solidFill>
              <a:schemeClr val="lt1"/>
            </a:solidFill>
          </a:ln>
          <a:effectLst/>
        </c:spPr>
      </c:pivotFmt>
      <c:pivotFmt>
        <c:idx val="179"/>
        <c:spPr>
          <a:solidFill>
            <a:schemeClr val="accent6">
              <a:tint val="56000"/>
            </a:schemeClr>
          </a:solidFill>
          <a:ln w="19050">
            <a:solidFill>
              <a:schemeClr val="lt1"/>
            </a:solidFill>
          </a:ln>
          <a:effectLst/>
        </c:spPr>
      </c:pivotFmt>
      <c:pivotFmt>
        <c:idx val="180"/>
        <c:spPr>
          <a:solidFill>
            <a:schemeClr val="accent6">
              <a:tint val="69000"/>
            </a:schemeClr>
          </a:solidFill>
          <a:ln w="19050">
            <a:solidFill>
              <a:schemeClr val="lt1"/>
            </a:solidFill>
          </a:ln>
          <a:effectLst/>
        </c:spPr>
      </c:pivotFmt>
      <c:pivotFmt>
        <c:idx val="181"/>
        <c:spPr>
          <a:solidFill>
            <a:schemeClr val="accent6">
              <a:tint val="81000"/>
            </a:schemeClr>
          </a:solidFill>
          <a:ln w="19050">
            <a:solidFill>
              <a:schemeClr val="lt1"/>
            </a:solidFill>
          </a:ln>
          <a:effectLst/>
        </c:spPr>
      </c:pivotFmt>
      <c:pivotFmt>
        <c:idx val="182"/>
        <c:spPr>
          <a:solidFill>
            <a:schemeClr val="accent6">
              <a:tint val="94000"/>
            </a:schemeClr>
          </a:solidFill>
          <a:ln w="19050">
            <a:solidFill>
              <a:schemeClr val="lt1"/>
            </a:solidFill>
          </a:ln>
          <a:effectLst/>
        </c:spPr>
      </c:pivotFmt>
      <c:pivotFmt>
        <c:idx val="183"/>
        <c:spPr>
          <a:solidFill>
            <a:schemeClr val="accent6">
              <a:shade val="93000"/>
            </a:schemeClr>
          </a:solidFill>
          <a:ln w="19050">
            <a:solidFill>
              <a:schemeClr val="lt1"/>
            </a:solidFill>
          </a:ln>
          <a:effectLst/>
        </c:spPr>
      </c:pivotFmt>
      <c:pivotFmt>
        <c:idx val="184"/>
        <c:spPr>
          <a:solidFill>
            <a:schemeClr val="accent6">
              <a:shade val="80000"/>
            </a:schemeClr>
          </a:solidFill>
          <a:ln w="19050">
            <a:solidFill>
              <a:schemeClr val="lt1"/>
            </a:solidFill>
          </a:ln>
          <a:effectLst/>
        </c:spPr>
      </c:pivotFmt>
      <c:pivotFmt>
        <c:idx val="185"/>
        <c:spPr>
          <a:solidFill>
            <a:schemeClr val="accent6">
              <a:shade val="68000"/>
            </a:schemeClr>
          </a:solidFill>
          <a:ln w="19050">
            <a:solidFill>
              <a:schemeClr val="lt1"/>
            </a:solidFill>
          </a:ln>
          <a:effectLst/>
        </c:spPr>
      </c:pivotFmt>
      <c:pivotFmt>
        <c:idx val="186"/>
        <c:spPr>
          <a:solidFill>
            <a:schemeClr val="accent6">
              <a:shade val="55000"/>
            </a:schemeClr>
          </a:solidFill>
          <a:ln w="19050">
            <a:solidFill>
              <a:schemeClr val="lt1"/>
            </a:solidFill>
          </a:ln>
          <a:effectLst/>
        </c:spPr>
      </c:pivotFmt>
      <c:pivotFmt>
        <c:idx val="187"/>
        <c:spPr>
          <a:solidFill>
            <a:schemeClr val="accent6">
              <a:shade val="42000"/>
            </a:schemeClr>
          </a:solidFill>
          <a:ln w="19050">
            <a:solidFill>
              <a:schemeClr val="lt1"/>
            </a:solidFill>
          </a:ln>
          <a:effectLst/>
        </c:spPr>
      </c:pivotFmt>
      <c:pivotFmt>
        <c:idx val="18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89"/>
        <c:spPr>
          <a:solidFill>
            <a:schemeClr val="accent6">
              <a:tint val="43000"/>
            </a:schemeClr>
          </a:solidFill>
          <a:ln w="19050">
            <a:solidFill>
              <a:schemeClr val="lt1"/>
            </a:solidFill>
          </a:ln>
          <a:effectLst/>
        </c:spPr>
      </c:pivotFmt>
      <c:pivotFmt>
        <c:idx val="190"/>
        <c:spPr>
          <a:solidFill>
            <a:schemeClr val="accent6">
              <a:tint val="56000"/>
            </a:schemeClr>
          </a:solidFill>
          <a:ln w="19050">
            <a:solidFill>
              <a:schemeClr val="lt1"/>
            </a:solidFill>
          </a:ln>
          <a:effectLst/>
        </c:spPr>
      </c:pivotFmt>
      <c:pivotFmt>
        <c:idx val="191"/>
        <c:spPr>
          <a:solidFill>
            <a:schemeClr val="accent6">
              <a:tint val="69000"/>
            </a:schemeClr>
          </a:solidFill>
          <a:ln w="19050">
            <a:solidFill>
              <a:schemeClr val="lt1"/>
            </a:solidFill>
          </a:ln>
          <a:effectLst/>
        </c:spPr>
      </c:pivotFmt>
      <c:pivotFmt>
        <c:idx val="192"/>
        <c:spPr>
          <a:solidFill>
            <a:schemeClr val="accent6">
              <a:tint val="81000"/>
            </a:schemeClr>
          </a:solidFill>
          <a:ln w="19050">
            <a:solidFill>
              <a:schemeClr val="lt1"/>
            </a:solidFill>
          </a:ln>
          <a:effectLst/>
        </c:spPr>
      </c:pivotFmt>
      <c:pivotFmt>
        <c:idx val="193"/>
        <c:spPr>
          <a:solidFill>
            <a:schemeClr val="accent6">
              <a:tint val="94000"/>
            </a:schemeClr>
          </a:solidFill>
          <a:ln w="19050">
            <a:solidFill>
              <a:schemeClr val="lt1"/>
            </a:solidFill>
          </a:ln>
          <a:effectLst/>
        </c:spPr>
      </c:pivotFmt>
      <c:pivotFmt>
        <c:idx val="194"/>
        <c:spPr>
          <a:solidFill>
            <a:schemeClr val="accent6">
              <a:shade val="93000"/>
            </a:schemeClr>
          </a:solidFill>
          <a:ln w="19050">
            <a:solidFill>
              <a:schemeClr val="lt1"/>
            </a:solidFill>
          </a:ln>
          <a:effectLst/>
        </c:spPr>
      </c:pivotFmt>
      <c:pivotFmt>
        <c:idx val="195"/>
        <c:spPr>
          <a:solidFill>
            <a:schemeClr val="accent6">
              <a:shade val="80000"/>
            </a:schemeClr>
          </a:solidFill>
          <a:ln w="19050">
            <a:solidFill>
              <a:schemeClr val="lt1"/>
            </a:solidFill>
          </a:ln>
          <a:effectLst/>
        </c:spPr>
      </c:pivotFmt>
      <c:pivotFmt>
        <c:idx val="196"/>
        <c:spPr>
          <a:solidFill>
            <a:schemeClr val="accent6">
              <a:shade val="68000"/>
            </a:schemeClr>
          </a:solidFill>
          <a:ln w="19050">
            <a:solidFill>
              <a:schemeClr val="lt1"/>
            </a:solidFill>
          </a:ln>
          <a:effectLst/>
        </c:spPr>
      </c:pivotFmt>
      <c:pivotFmt>
        <c:idx val="197"/>
        <c:spPr>
          <a:solidFill>
            <a:schemeClr val="accent6">
              <a:shade val="55000"/>
            </a:schemeClr>
          </a:solidFill>
          <a:ln w="19050">
            <a:solidFill>
              <a:schemeClr val="lt1"/>
            </a:solidFill>
          </a:ln>
          <a:effectLst/>
        </c:spPr>
      </c:pivotFmt>
      <c:pivotFmt>
        <c:idx val="198"/>
        <c:spPr>
          <a:solidFill>
            <a:schemeClr val="accent6">
              <a:shade val="42000"/>
            </a:schemeClr>
          </a:solidFill>
          <a:ln w="19050">
            <a:solidFill>
              <a:schemeClr val="lt1"/>
            </a:solidFill>
          </a:ln>
          <a:effectLst/>
        </c:spPr>
      </c:pivotFmt>
      <c:pivotFmt>
        <c:idx val="19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00"/>
        <c:spPr>
          <a:solidFill>
            <a:schemeClr val="accent6">
              <a:tint val="43000"/>
            </a:schemeClr>
          </a:solidFill>
          <a:ln w="19050">
            <a:solidFill>
              <a:schemeClr val="lt1"/>
            </a:solidFill>
          </a:ln>
          <a:effectLst/>
        </c:spPr>
      </c:pivotFmt>
      <c:pivotFmt>
        <c:idx val="201"/>
        <c:spPr>
          <a:solidFill>
            <a:schemeClr val="accent6">
              <a:tint val="56000"/>
            </a:schemeClr>
          </a:solidFill>
          <a:ln w="19050">
            <a:solidFill>
              <a:schemeClr val="lt1"/>
            </a:solidFill>
          </a:ln>
          <a:effectLst/>
        </c:spPr>
      </c:pivotFmt>
      <c:pivotFmt>
        <c:idx val="202"/>
        <c:spPr>
          <a:solidFill>
            <a:schemeClr val="accent6">
              <a:tint val="69000"/>
            </a:schemeClr>
          </a:solidFill>
          <a:ln w="19050">
            <a:solidFill>
              <a:schemeClr val="lt1"/>
            </a:solidFill>
          </a:ln>
          <a:effectLst/>
        </c:spPr>
      </c:pivotFmt>
      <c:pivotFmt>
        <c:idx val="203"/>
        <c:spPr>
          <a:solidFill>
            <a:schemeClr val="accent6">
              <a:tint val="81000"/>
            </a:schemeClr>
          </a:solidFill>
          <a:ln w="19050">
            <a:solidFill>
              <a:schemeClr val="lt1"/>
            </a:solidFill>
          </a:ln>
          <a:effectLst/>
        </c:spPr>
      </c:pivotFmt>
      <c:pivotFmt>
        <c:idx val="204"/>
        <c:spPr>
          <a:solidFill>
            <a:schemeClr val="accent6">
              <a:tint val="94000"/>
            </a:schemeClr>
          </a:solidFill>
          <a:ln w="19050">
            <a:solidFill>
              <a:schemeClr val="lt1"/>
            </a:solidFill>
          </a:ln>
          <a:effectLst/>
        </c:spPr>
      </c:pivotFmt>
      <c:pivotFmt>
        <c:idx val="205"/>
        <c:spPr>
          <a:solidFill>
            <a:schemeClr val="accent6">
              <a:shade val="93000"/>
            </a:schemeClr>
          </a:solidFill>
          <a:ln w="19050">
            <a:solidFill>
              <a:schemeClr val="lt1"/>
            </a:solidFill>
          </a:ln>
          <a:effectLst/>
        </c:spPr>
      </c:pivotFmt>
      <c:pivotFmt>
        <c:idx val="206"/>
        <c:spPr>
          <a:solidFill>
            <a:schemeClr val="accent6">
              <a:shade val="80000"/>
            </a:schemeClr>
          </a:solidFill>
          <a:ln w="19050">
            <a:solidFill>
              <a:schemeClr val="lt1"/>
            </a:solidFill>
          </a:ln>
          <a:effectLst/>
        </c:spPr>
      </c:pivotFmt>
      <c:pivotFmt>
        <c:idx val="207"/>
        <c:spPr>
          <a:solidFill>
            <a:schemeClr val="accent6">
              <a:shade val="68000"/>
            </a:schemeClr>
          </a:solidFill>
          <a:ln w="19050">
            <a:solidFill>
              <a:schemeClr val="lt1"/>
            </a:solidFill>
          </a:ln>
          <a:effectLst/>
        </c:spPr>
      </c:pivotFmt>
      <c:pivotFmt>
        <c:idx val="208"/>
        <c:spPr>
          <a:solidFill>
            <a:schemeClr val="accent6">
              <a:shade val="55000"/>
            </a:schemeClr>
          </a:solidFill>
          <a:ln w="19050">
            <a:solidFill>
              <a:schemeClr val="lt1"/>
            </a:solidFill>
          </a:ln>
          <a:effectLst/>
        </c:spPr>
      </c:pivotFmt>
      <c:pivotFmt>
        <c:idx val="209"/>
        <c:spPr>
          <a:solidFill>
            <a:schemeClr val="accent6">
              <a:shade val="42000"/>
            </a:schemeClr>
          </a:solidFill>
          <a:ln w="19050">
            <a:solidFill>
              <a:schemeClr val="lt1"/>
            </a:solidFill>
          </a:ln>
          <a:effectLst/>
        </c:spPr>
      </c:pivotFmt>
      <c:pivotFmt>
        <c:idx val="2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11"/>
        <c:spPr>
          <a:solidFill>
            <a:schemeClr val="accent6">
              <a:tint val="43000"/>
            </a:schemeClr>
          </a:solidFill>
          <a:ln w="19050">
            <a:solidFill>
              <a:schemeClr val="lt1"/>
            </a:solidFill>
          </a:ln>
          <a:effectLst/>
        </c:spPr>
      </c:pivotFmt>
      <c:pivotFmt>
        <c:idx val="212"/>
        <c:spPr>
          <a:solidFill>
            <a:schemeClr val="accent6">
              <a:tint val="56000"/>
            </a:schemeClr>
          </a:solidFill>
          <a:ln w="19050">
            <a:solidFill>
              <a:schemeClr val="lt1"/>
            </a:solidFill>
          </a:ln>
          <a:effectLst/>
        </c:spPr>
      </c:pivotFmt>
      <c:pivotFmt>
        <c:idx val="213"/>
        <c:spPr>
          <a:solidFill>
            <a:schemeClr val="accent6">
              <a:tint val="69000"/>
            </a:schemeClr>
          </a:solidFill>
          <a:ln w="19050">
            <a:solidFill>
              <a:schemeClr val="lt1"/>
            </a:solidFill>
          </a:ln>
          <a:effectLst/>
        </c:spPr>
      </c:pivotFmt>
      <c:pivotFmt>
        <c:idx val="214"/>
        <c:spPr>
          <a:solidFill>
            <a:schemeClr val="accent6">
              <a:tint val="81000"/>
            </a:schemeClr>
          </a:solidFill>
          <a:ln w="19050">
            <a:solidFill>
              <a:schemeClr val="lt1"/>
            </a:solidFill>
          </a:ln>
          <a:effectLst/>
        </c:spPr>
      </c:pivotFmt>
      <c:pivotFmt>
        <c:idx val="215"/>
        <c:spPr>
          <a:solidFill>
            <a:schemeClr val="accent6">
              <a:tint val="94000"/>
            </a:schemeClr>
          </a:solidFill>
          <a:ln w="19050">
            <a:solidFill>
              <a:schemeClr val="lt1"/>
            </a:solidFill>
          </a:ln>
          <a:effectLst/>
        </c:spPr>
      </c:pivotFmt>
      <c:pivotFmt>
        <c:idx val="216"/>
        <c:spPr>
          <a:solidFill>
            <a:schemeClr val="accent6">
              <a:shade val="93000"/>
            </a:schemeClr>
          </a:solidFill>
          <a:ln w="19050">
            <a:solidFill>
              <a:schemeClr val="lt1"/>
            </a:solidFill>
          </a:ln>
          <a:effectLst/>
        </c:spPr>
      </c:pivotFmt>
      <c:pivotFmt>
        <c:idx val="217"/>
        <c:spPr>
          <a:solidFill>
            <a:schemeClr val="accent6">
              <a:shade val="80000"/>
            </a:schemeClr>
          </a:solidFill>
          <a:ln w="19050">
            <a:solidFill>
              <a:schemeClr val="lt1"/>
            </a:solidFill>
          </a:ln>
          <a:effectLst/>
        </c:spPr>
      </c:pivotFmt>
      <c:pivotFmt>
        <c:idx val="218"/>
        <c:spPr>
          <a:solidFill>
            <a:schemeClr val="accent6">
              <a:shade val="68000"/>
            </a:schemeClr>
          </a:solidFill>
          <a:ln w="19050">
            <a:solidFill>
              <a:schemeClr val="lt1"/>
            </a:solidFill>
          </a:ln>
          <a:effectLst/>
        </c:spPr>
      </c:pivotFmt>
      <c:pivotFmt>
        <c:idx val="219"/>
        <c:spPr>
          <a:solidFill>
            <a:schemeClr val="accent6">
              <a:shade val="55000"/>
            </a:schemeClr>
          </a:solidFill>
          <a:ln w="19050">
            <a:solidFill>
              <a:schemeClr val="lt1"/>
            </a:solidFill>
          </a:ln>
          <a:effectLst/>
        </c:spPr>
      </c:pivotFmt>
      <c:pivotFmt>
        <c:idx val="220"/>
        <c:spPr>
          <a:solidFill>
            <a:schemeClr val="accent6">
              <a:shade val="42000"/>
            </a:schemeClr>
          </a:solidFill>
          <a:ln w="19050">
            <a:solidFill>
              <a:schemeClr val="lt1"/>
            </a:solidFill>
          </a:ln>
          <a:effectLst/>
        </c:spPr>
      </c:pivotFmt>
      <c:pivotFmt>
        <c:idx val="22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22"/>
        <c:spPr>
          <a:solidFill>
            <a:schemeClr val="accent6">
              <a:tint val="43000"/>
            </a:schemeClr>
          </a:solidFill>
          <a:ln w="19050">
            <a:solidFill>
              <a:schemeClr val="lt1"/>
            </a:solidFill>
          </a:ln>
          <a:effectLst/>
        </c:spPr>
      </c:pivotFmt>
      <c:pivotFmt>
        <c:idx val="223"/>
        <c:spPr>
          <a:solidFill>
            <a:schemeClr val="accent6">
              <a:tint val="56000"/>
            </a:schemeClr>
          </a:solidFill>
          <a:ln w="19050">
            <a:solidFill>
              <a:schemeClr val="lt1"/>
            </a:solidFill>
          </a:ln>
          <a:effectLst/>
        </c:spPr>
      </c:pivotFmt>
      <c:pivotFmt>
        <c:idx val="224"/>
        <c:spPr>
          <a:solidFill>
            <a:schemeClr val="accent6">
              <a:tint val="69000"/>
            </a:schemeClr>
          </a:solidFill>
          <a:ln w="19050">
            <a:solidFill>
              <a:schemeClr val="lt1"/>
            </a:solidFill>
          </a:ln>
          <a:effectLst/>
        </c:spPr>
      </c:pivotFmt>
      <c:pivotFmt>
        <c:idx val="225"/>
        <c:spPr>
          <a:solidFill>
            <a:schemeClr val="accent6">
              <a:tint val="81000"/>
            </a:schemeClr>
          </a:solidFill>
          <a:ln w="19050">
            <a:solidFill>
              <a:schemeClr val="lt1"/>
            </a:solidFill>
          </a:ln>
          <a:effectLst/>
        </c:spPr>
      </c:pivotFmt>
      <c:pivotFmt>
        <c:idx val="226"/>
        <c:spPr>
          <a:solidFill>
            <a:schemeClr val="accent6">
              <a:tint val="94000"/>
            </a:schemeClr>
          </a:solidFill>
          <a:ln w="19050">
            <a:solidFill>
              <a:schemeClr val="lt1"/>
            </a:solidFill>
          </a:ln>
          <a:effectLst/>
        </c:spPr>
      </c:pivotFmt>
      <c:pivotFmt>
        <c:idx val="227"/>
        <c:spPr>
          <a:solidFill>
            <a:schemeClr val="accent6">
              <a:shade val="93000"/>
            </a:schemeClr>
          </a:solidFill>
          <a:ln w="19050">
            <a:solidFill>
              <a:schemeClr val="lt1"/>
            </a:solidFill>
          </a:ln>
          <a:effectLst/>
        </c:spPr>
      </c:pivotFmt>
      <c:pivotFmt>
        <c:idx val="228"/>
        <c:spPr>
          <a:solidFill>
            <a:schemeClr val="accent6">
              <a:shade val="80000"/>
            </a:schemeClr>
          </a:solidFill>
          <a:ln w="19050">
            <a:solidFill>
              <a:schemeClr val="lt1"/>
            </a:solidFill>
          </a:ln>
          <a:effectLst/>
        </c:spPr>
      </c:pivotFmt>
      <c:pivotFmt>
        <c:idx val="229"/>
        <c:spPr>
          <a:solidFill>
            <a:schemeClr val="accent6">
              <a:shade val="68000"/>
            </a:schemeClr>
          </a:solidFill>
          <a:ln w="19050">
            <a:solidFill>
              <a:schemeClr val="lt1"/>
            </a:solidFill>
          </a:ln>
          <a:effectLst/>
        </c:spPr>
      </c:pivotFmt>
      <c:pivotFmt>
        <c:idx val="230"/>
        <c:spPr>
          <a:solidFill>
            <a:schemeClr val="accent6">
              <a:shade val="55000"/>
            </a:schemeClr>
          </a:solidFill>
          <a:ln w="19050">
            <a:solidFill>
              <a:schemeClr val="lt1"/>
            </a:solidFill>
          </a:ln>
          <a:effectLst/>
        </c:spPr>
      </c:pivotFmt>
      <c:pivotFmt>
        <c:idx val="231"/>
        <c:spPr>
          <a:solidFill>
            <a:schemeClr val="accent6">
              <a:shade val="42000"/>
            </a:schemeClr>
          </a:solidFill>
          <a:ln w="19050">
            <a:solidFill>
              <a:schemeClr val="lt1"/>
            </a:solidFill>
          </a:ln>
          <a:effectLst/>
        </c:spPr>
      </c:pivotFmt>
      <c:pivotFmt>
        <c:idx val="23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33"/>
        <c:spPr>
          <a:solidFill>
            <a:schemeClr val="accent6">
              <a:tint val="43000"/>
            </a:schemeClr>
          </a:solidFill>
          <a:ln w="19050">
            <a:solidFill>
              <a:schemeClr val="lt1"/>
            </a:solidFill>
          </a:ln>
          <a:effectLst/>
        </c:spPr>
      </c:pivotFmt>
      <c:pivotFmt>
        <c:idx val="234"/>
        <c:spPr>
          <a:solidFill>
            <a:schemeClr val="accent6">
              <a:tint val="56000"/>
            </a:schemeClr>
          </a:solidFill>
          <a:ln w="19050">
            <a:solidFill>
              <a:schemeClr val="lt1"/>
            </a:solidFill>
          </a:ln>
          <a:effectLst/>
        </c:spPr>
      </c:pivotFmt>
      <c:pivotFmt>
        <c:idx val="235"/>
        <c:spPr>
          <a:solidFill>
            <a:schemeClr val="accent6">
              <a:tint val="69000"/>
            </a:schemeClr>
          </a:solidFill>
          <a:ln w="19050">
            <a:solidFill>
              <a:schemeClr val="lt1"/>
            </a:solidFill>
          </a:ln>
          <a:effectLst/>
        </c:spPr>
      </c:pivotFmt>
      <c:pivotFmt>
        <c:idx val="236"/>
        <c:spPr>
          <a:solidFill>
            <a:schemeClr val="accent6">
              <a:tint val="81000"/>
            </a:schemeClr>
          </a:solidFill>
          <a:ln w="19050">
            <a:solidFill>
              <a:schemeClr val="lt1"/>
            </a:solidFill>
          </a:ln>
          <a:effectLst/>
        </c:spPr>
      </c:pivotFmt>
      <c:pivotFmt>
        <c:idx val="237"/>
        <c:spPr>
          <a:solidFill>
            <a:schemeClr val="accent6">
              <a:tint val="94000"/>
            </a:schemeClr>
          </a:solidFill>
          <a:ln w="19050">
            <a:solidFill>
              <a:schemeClr val="lt1"/>
            </a:solidFill>
          </a:ln>
          <a:effectLst/>
        </c:spPr>
      </c:pivotFmt>
      <c:pivotFmt>
        <c:idx val="238"/>
        <c:spPr>
          <a:solidFill>
            <a:schemeClr val="accent6">
              <a:shade val="93000"/>
            </a:schemeClr>
          </a:solidFill>
          <a:ln w="19050">
            <a:solidFill>
              <a:schemeClr val="lt1"/>
            </a:solidFill>
          </a:ln>
          <a:effectLst/>
        </c:spPr>
      </c:pivotFmt>
      <c:pivotFmt>
        <c:idx val="239"/>
        <c:spPr>
          <a:solidFill>
            <a:schemeClr val="accent6">
              <a:shade val="80000"/>
            </a:schemeClr>
          </a:solidFill>
          <a:ln w="19050">
            <a:solidFill>
              <a:schemeClr val="lt1"/>
            </a:solidFill>
          </a:ln>
          <a:effectLst/>
        </c:spPr>
      </c:pivotFmt>
      <c:pivotFmt>
        <c:idx val="240"/>
        <c:spPr>
          <a:solidFill>
            <a:schemeClr val="accent6">
              <a:shade val="68000"/>
            </a:schemeClr>
          </a:solidFill>
          <a:ln w="19050">
            <a:solidFill>
              <a:schemeClr val="lt1"/>
            </a:solidFill>
          </a:ln>
          <a:effectLst/>
        </c:spPr>
      </c:pivotFmt>
      <c:pivotFmt>
        <c:idx val="241"/>
        <c:spPr>
          <a:solidFill>
            <a:schemeClr val="accent6">
              <a:shade val="55000"/>
            </a:schemeClr>
          </a:solidFill>
          <a:ln w="19050">
            <a:solidFill>
              <a:schemeClr val="lt1"/>
            </a:solidFill>
          </a:ln>
          <a:effectLst/>
        </c:spPr>
      </c:pivotFmt>
      <c:pivotFmt>
        <c:idx val="242"/>
        <c:spPr>
          <a:solidFill>
            <a:schemeClr val="accent6">
              <a:shade val="42000"/>
            </a:schemeClr>
          </a:solidFill>
          <a:ln w="19050">
            <a:solidFill>
              <a:schemeClr val="lt1"/>
            </a:solidFill>
          </a:ln>
          <a:effectLst/>
        </c:spPr>
      </c:pivotFmt>
      <c:pivotFmt>
        <c:idx val="24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44"/>
        <c:spPr>
          <a:solidFill>
            <a:schemeClr val="accent6">
              <a:tint val="43000"/>
            </a:schemeClr>
          </a:solidFill>
          <a:ln w="19050">
            <a:solidFill>
              <a:schemeClr val="lt1"/>
            </a:solidFill>
          </a:ln>
          <a:effectLst/>
        </c:spPr>
      </c:pivotFmt>
      <c:pivotFmt>
        <c:idx val="245"/>
        <c:spPr>
          <a:solidFill>
            <a:schemeClr val="accent6">
              <a:tint val="56000"/>
            </a:schemeClr>
          </a:solidFill>
          <a:ln w="19050">
            <a:solidFill>
              <a:schemeClr val="lt1"/>
            </a:solidFill>
          </a:ln>
          <a:effectLst/>
        </c:spPr>
      </c:pivotFmt>
      <c:pivotFmt>
        <c:idx val="246"/>
        <c:spPr>
          <a:solidFill>
            <a:schemeClr val="accent6">
              <a:tint val="69000"/>
            </a:schemeClr>
          </a:solidFill>
          <a:ln w="19050">
            <a:solidFill>
              <a:schemeClr val="lt1"/>
            </a:solidFill>
          </a:ln>
          <a:effectLst/>
        </c:spPr>
      </c:pivotFmt>
      <c:pivotFmt>
        <c:idx val="247"/>
        <c:spPr>
          <a:solidFill>
            <a:schemeClr val="accent6">
              <a:tint val="81000"/>
            </a:schemeClr>
          </a:solidFill>
          <a:ln w="19050">
            <a:solidFill>
              <a:schemeClr val="lt1"/>
            </a:solidFill>
          </a:ln>
          <a:effectLst/>
        </c:spPr>
      </c:pivotFmt>
      <c:pivotFmt>
        <c:idx val="248"/>
        <c:spPr>
          <a:solidFill>
            <a:schemeClr val="accent6">
              <a:tint val="94000"/>
            </a:schemeClr>
          </a:solidFill>
          <a:ln w="19050">
            <a:solidFill>
              <a:schemeClr val="lt1"/>
            </a:solidFill>
          </a:ln>
          <a:effectLst/>
        </c:spPr>
      </c:pivotFmt>
      <c:pivotFmt>
        <c:idx val="249"/>
        <c:spPr>
          <a:solidFill>
            <a:schemeClr val="accent6">
              <a:shade val="93000"/>
            </a:schemeClr>
          </a:solidFill>
          <a:ln w="19050">
            <a:solidFill>
              <a:schemeClr val="lt1"/>
            </a:solidFill>
          </a:ln>
          <a:effectLst/>
        </c:spPr>
      </c:pivotFmt>
      <c:pivotFmt>
        <c:idx val="250"/>
        <c:spPr>
          <a:solidFill>
            <a:schemeClr val="accent6">
              <a:shade val="80000"/>
            </a:schemeClr>
          </a:solidFill>
          <a:ln w="19050">
            <a:solidFill>
              <a:schemeClr val="lt1"/>
            </a:solidFill>
          </a:ln>
          <a:effectLst/>
        </c:spPr>
      </c:pivotFmt>
      <c:pivotFmt>
        <c:idx val="251"/>
        <c:spPr>
          <a:solidFill>
            <a:schemeClr val="accent6">
              <a:shade val="68000"/>
            </a:schemeClr>
          </a:solidFill>
          <a:ln w="19050">
            <a:solidFill>
              <a:schemeClr val="lt1"/>
            </a:solidFill>
          </a:ln>
          <a:effectLst/>
        </c:spPr>
      </c:pivotFmt>
      <c:pivotFmt>
        <c:idx val="252"/>
        <c:spPr>
          <a:solidFill>
            <a:schemeClr val="accent6">
              <a:shade val="55000"/>
            </a:schemeClr>
          </a:solidFill>
          <a:ln w="19050">
            <a:solidFill>
              <a:schemeClr val="lt1"/>
            </a:solidFill>
          </a:ln>
          <a:effectLst/>
        </c:spPr>
      </c:pivotFmt>
      <c:pivotFmt>
        <c:idx val="253"/>
        <c:spPr>
          <a:solidFill>
            <a:schemeClr val="accent6">
              <a:shade val="42000"/>
            </a:schemeClr>
          </a:solidFill>
          <a:ln w="19050">
            <a:solidFill>
              <a:schemeClr val="lt1"/>
            </a:solidFill>
          </a:ln>
          <a:effectLst/>
        </c:spPr>
      </c:pivotFmt>
      <c:pivotFmt>
        <c:idx val="25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55"/>
        <c:spPr>
          <a:solidFill>
            <a:schemeClr val="accent6">
              <a:tint val="43000"/>
            </a:schemeClr>
          </a:solidFill>
          <a:ln w="19050">
            <a:solidFill>
              <a:schemeClr val="lt1"/>
            </a:solidFill>
          </a:ln>
          <a:effectLst/>
        </c:spPr>
      </c:pivotFmt>
      <c:pivotFmt>
        <c:idx val="256"/>
        <c:spPr>
          <a:solidFill>
            <a:schemeClr val="accent6">
              <a:tint val="56000"/>
            </a:schemeClr>
          </a:solidFill>
          <a:ln w="19050">
            <a:solidFill>
              <a:schemeClr val="lt1"/>
            </a:solidFill>
          </a:ln>
          <a:effectLst/>
        </c:spPr>
      </c:pivotFmt>
      <c:pivotFmt>
        <c:idx val="257"/>
        <c:spPr>
          <a:solidFill>
            <a:schemeClr val="accent6">
              <a:tint val="69000"/>
            </a:schemeClr>
          </a:solidFill>
          <a:ln w="19050">
            <a:solidFill>
              <a:schemeClr val="lt1"/>
            </a:solidFill>
          </a:ln>
          <a:effectLst/>
        </c:spPr>
      </c:pivotFmt>
      <c:pivotFmt>
        <c:idx val="258"/>
        <c:spPr>
          <a:solidFill>
            <a:schemeClr val="accent6">
              <a:tint val="81000"/>
            </a:schemeClr>
          </a:solidFill>
          <a:ln w="19050">
            <a:solidFill>
              <a:schemeClr val="lt1"/>
            </a:solidFill>
          </a:ln>
          <a:effectLst/>
        </c:spPr>
      </c:pivotFmt>
      <c:pivotFmt>
        <c:idx val="259"/>
        <c:spPr>
          <a:solidFill>
            <a:schemeClr val="accent6">
              <a:tint val="94000"/>
            </a:schemeClr>
          </a:solidFill>
          <a:ln w="19050">
            <a:solidFill>
              <a:schemeClr val="lt1"/>
            </a:solidFill>
          </a:ln>
          <a:effectLst/>
        </c:spPr>
      </c:pivotFmt>
      <c:pivotFmt>
        <c:idx val="260"/>
        <c:spPr>
          <a:solidFill>
            <a:schemeClr val="accent6">
              <a:shade val="93000"/>
            </a:schemeClr>
          </a:solidFill>
          <a:ln w="19050">
            <a:solidFill>
              <a:schemeClr val="lt1"/>
            </a:solidFill>
          </a:ln>
          <a:effectLst/>
        </c:spPr>
      </c:pivotFmt>
      <c:pivotFmt>
        <c:idx val="261"/>
        <c:spPr>
          <a:solidFill>
            <a:schemeClr val="accent6">
              <a:shade val="80000"/>
            </a:schemeClr>
          </a:solidFill>
          <a:ln w="19050">
            <a:solidFill>
              <a:schemeClr val="lt1"/>
            </a:solidFill>
          </a:ln>
          <a:effectLst/>
        </c:spPr>
      </c:pivotFmt>
      <c:pivotFmt>
        <c:idx val="262"/>
        <c:spPr>
          <a:solidFill>
            <a:schemeClr val="accent6">
              <a:shade val="68000"/>
            </a:schemeClr>
          </a:solidFill>
          <a:ln w="19050">
            <a:solidFill>
              <a:schemeClr val="lt1"/>
            </a:solidFill>
          </a:ln>
          <a:effectLst/>
        </c:spPr>
      </c:pivotFmt>
      <c:pivotFmt>
        <c:idx val="263"/>
        <c:spPr>
          <a:solidFill>
            <a:schemeClr val="accent6">
              <a:shade val="55000"/>
            </a:schemeClr>
          </a:solidFill>
          <a:ln w="19050">
            <a:solidFill>
              <a:schemeClr val="lt1"/>
            </a:solidFill>
          </a:ln>
          <a:effectLst/>
        </c:spPr>
      </c:pivotFmt>
      <c:pivotFmt>
        <c:idx val="264"/>
        <c:spPr>
          <a:solidFill>
            <a:schemeClr val="accent6">
              <a:shade val="42000"/>
            </a:schemeClr>
          </a:solidFill>
          <a:ln w="19050">
            <a:solidFill>
              <a:schemeClr val="lt1"/>
            </a:solidFill>
          </a:ln>
          <a:effectLst/>
        </c:spPr>
      </c:pivotFmt>
      <c:pivotFmt>
        <c:idx val="26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266"/>
        <c:spPr>
          <a:solidFill>
            <a:schemeClr val="accent6">
              <a:tint val="43000"/>
            </a:schemeClr>
          </a:solidFill>
          <a:ln w="19050">
            <a:solidFill>
              <a:schemeClr val="lt1"/>
            </a:solidFill>
          </a:ln>
          <a:effectLst/>
        </c:spPr>
      </c:pivotFmt>
      <c:pivotFmt>
        <c:idx val="267"/>
        <c:spPr>
          <a:solidFill>
            <a:schemeClr val="accent6">
              <a:tint val="56000"/>
            </a:schemeClr>
          </a:solidFill>
          <a:ln w="19050">
            <a:solidFill>
              <a:schemeClr val="lt1"/>
            </a:solidFill>
          </a:ln>
          <a:effectLst/>
        </c:spPr>
      </c:pivotFmt>
      <c:pivotFmt>
        <c:idx val="268"/>
        <c:spPr>
          <a:solidFill>
            <a:schemeClr val="accent6">
              <a:tint val="69000"/>
            </a:schemeClr>
          </a:solidFill>
          <a:ln w="19050">
            <a:solidFill>
              <a:schemeClr val="lt1"/>
            </a:solidFill>
          </a:ln>
          <a:effectLst/>
        </c:spPr>
      </c:pivotFmt>
      <c:pivotFmt>
        <c:idx val="269"/>
        <c:spPr>
          <a:solidFill>
            <a:schemeClr val="accent6">
              <a:tint val="81000"/>
            </a:schemeClr>
          </a:solidFill>
          <a:ln w="19050">
            <a:solidFill>
              <a:schemeClr val="lt1"/>
            </a:solidFill>
          </a:ln>
          <a:effectLst/>
        </c:spPr>
      </c:pivotFmt>
      <c:pivotFmt>
        <c:idx val="270"/>
        <c:spPr>
          <a:solidFill>
            <a:schemeClr val="accent6">
              <a:tint val="94000"/>
            </a:schemeClr>
          </a:solidFill>
          <a:ln w="19050">
            <a:solidFill>
              <a:schemeClr val="lt1"/>
            </a:solidFill>
          </a:ln>
          <a:effectLst/>
        </c:spPr>
      </c:pivotFmt>
      <c:pivotFmt>
        <c:idx val="271"/>
        <c:spPr>
          <a:solidFill>
            <a:schemeClr val="accent6">
              <a:shade val="93000"/>
            </a:schemeClr>
          </a:solidFill>
          <a:ln w="19050">
            <a:solidFill>
              <a:schemeClr val="lt1"/>
            </a:solidFill>
          </a:ln>
          <a:effectLst/>
        </c:spPr>
      </c:pivotFmt>
      <c:pivotFmt>
        <c:idx val="272"/>
        <c:spPr>
          <a:solidFill>
            <a:schemeClr val="accent6">
              <a:shade val="80000"/>
            </a:schemeClr>
          </a:solidFill>
          <a:ln w="19050">
            <a:solidFill>
              <a:schemeClr val="lt1"/>
            </a:solidFill>
          </a:ln>
          <a:effectLst/>
        </c:spPr>
      </c:pivotFmt>
      <c:pivotFmt>
        <c:idx val="273"/>
        <c:spPr>
          <a:solidFill>
            <a:schemeClr val="accent6">
              <a:shade val="68000"/>
            </a:schemeClr>
          </a:solidFill>
          <a:ln w="19050">
            <a:solidFill>
              <a:schemeClr val="lt1"/>
            </a:solidFill>
          </a:ln>
          <a:effectLst/>
        </c:spPr>
      </c:pivotFmt>
      <c:pivotFmt>
        <c:idx val="274"/>
        <c:spPr>
          <a:solidFill>
            <a:schemeClr val="accent6">
              <a:shade val="55000"/>
            </a:schemeClr>
          </a:solidFill>
          <a:ln w="19050">
            <a:solidFill>
              <a:schemeClr val="lt1"/>
            </a:solidFill>
          </a:ln>
          <a:effectLst/>
        </c:spPr>
      </c:pivotFmt>
      <c:pivotFmt>
        <c:idx val="275"/>
        <c:spPr>
          <a:solidFill>
            <a:schemeClr val="accent6">
              <a:shade val="42000"/>
            </a:schemeClr>
          </a:solidFill>
          <a:ln w="19050">
            <a:solidFill>
              <a:schemeClr val="lt1"/>
            </a:solidFill>
          </a:ln>
          <a:effectLst/>
        </c:spPr>
      </c:pivotFmt>
    </c:pivotFmts>
    <c:plotArea>
      <c:layout>
        <c:manualLayout>
          <c:layoutTarget val="inner"/>
          <c:xMode val="edge"/>
          <c:yMode val="edge"/>
          <c:x val="0.20338795372570026"/>
          <c:y val="0.24007435178763836"/>
          <c:w val="0.60317265369953832"/>
          <c:h val="0.70722566434995449"/>
        </c:manualLayout>
      </c:layout>
      <c:pieChart>
        <c:varyColors val="1"/>
        <c:ser>
          <c:idx val="0"/>
          <c:order val="0"/>
          <c:tx>
            <c:strRef>
              <c:f>Pivots!$B$22:$B$23</c:f>
              <c:strCache>
                <c:ptCount val="1"/>
                <c:pt idx="0">
                  <c:v>Jan</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01-0303-4CE2-A042-F26F9AB6D5E1}"/>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03-0303-4CE2-A042-F26F9AB6D5E1}"/>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05-0303-4CE2-A042-F26F9AB6D5E1}"/>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07-0303-4CE2-A042-F26F9AB6D5E1}"/>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09-0303-4CE2-A042-F26F9AB6D5E1}"/>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0B-0303-4CE2-A042-F26F9AB6D5E1}"/>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0D-0303-4CE2-A042-F26F9AB6D5E1}"/>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0F-0303-4CE2-A042-F26F9AB6D5E1}"/>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11-0303-4CE2-A042-F26F9AB6D5E1}"/>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13-0303-4CE2-A042-F26F9AB6D5E1}"/>
              </c:ext>
            </c:extLst>
          </c:dPt>
          <c:dLbls>
            <c:dLbl>
              <c:idx val="0"/>
              <c:layout>
                <c:manualLayout>
                  <c:x val="9.8484730989345046E-3"/>
                  <c:y val="2.820854641516482E-2"/>
                </c:manualLayout>
              </c:layout>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41363587015524916"/>
                      <c:h val="0.12649813681719743"/>
                    </c:manualLayout>
                  </c15:layout>
                </c:ext>
                <c:ext xmlns:c16="http://schemas.microsoft.com/office/drawing/2014/chart" uri="{C3380CC4-5D6E-409C-BE32-E72D297353CC}">
                  <c16:uniqueId val="{00000001-0303-4CE2-A042-F26F9AB6D5E1}"/>
                </c:ext>
              </c:extLst>
            </c:dLbl>
            <c:dLbl>
              <c:idx val="1"/>
              <c:layout>
                <c:manualLayout>
                  <c:x val="0.10845378972346728"/>
                  <c:y val="0.1086672690278431"/>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303-4CE2-A042-F26F9AB6D5E1}"/>
                </c:ext>
              </c:extLst>
            </c:dLbl>
            <c:dLbl>
              <c:idx val="7"/>
              <c:layout>
                <c:manualLayout>
                  <c:x val="-3.8592831552336497E-2"/>
                  <c:y val="0.1333939968740111"/>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0303-4CE2-A042-F26F9AB6D5E1}"/>
                </c:ext>
              </c:extLst>
            </c:dLbl>
            <c:dLbl>
              <c:idx val="8"/>
              <c:layout>
                <c:manualLayout>
                  <c:x val="-5.9090644726026334E-2"/>
                  <c:y val="6.137123110198664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99049079885432"/>
                      <c:h val="0.10468811322802546"/>
                    </c:manualLayout>
                  </c15:layout>
                </c:ext>
                <c:ext xmlns:c16="http://schemas.microsoft.com/office/drawing/2014/chart" uri="{C3380CC4-5D6E-409C-BE32-E72D297353CC}">
                  <c16:uniqueId val="{00000011-0303-4CE2-A042-F26F9AB6D5E1}"/>
                </c:ext>
              </c:extLst>
            </c:dLbl>
            <c:dLbl>
              <c:idx val="9"/>
              <c:layout>
                <c:manualLayout>
                  <c:x val="-0.1149861578547389"/>
                  <c:y val="3.6328057559228237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3-0303-4CE2-A042-F26F9AB6D5E1}"/>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Pivots!$B$24:$B$34</c:f>
              <c:numCache>
                <c:formatCode>#,##0</c:formatCode>
                <c:ptCount val="10"/>
                <c:pt idx="0">
                  <c:v>14632</c:v>
                </c:pt>
                <c:pt idx="1">
                  <c:v>12000</c:v>
                </c:pt>
                <c:pt idx="2">
                  <c:v>36031</c:v>
                </c:pt>
                <c:pt idx="3">
                  <c:v>5613</c:v>
                </c:pt>
                <c:pt idx="4">
                  <c:v>10215</c:v>
                </c:pt>
                <c:pt idx="5">
                  <c:v>37642</c:v>
                </c:pt>
                <c:pt idx="6">
                  <c:v>66000</c:v>
                </c:pt>
                <c:pt idx="7">
                  <c:v>11164</c:v>
                </c:pt>
                <c:pt idx="8">
                  <c:v>16345</c:v>
                </c:pt>
                <c:pt idx="9">
                  <c:v>11188</c:v>
                </c:pt>
              </c:numCache>
            </c:numRef>
          </c:val>
          <c:extLst>
            <c:ext xmlns:c16="http://schemas.microsoft.com/office/drawing/2014/chart" uri="{C3380CC4-5D6E-409C-BE32-E72D297353CC}">
              <c16:uniqueId val="{00000014-0303-4CE2-A042-F26F9AB6D5E1}"/>
            </c:ext>
          </c:extLst>
        </c:ser>
        <c:ser>
          <c:idx val="1"/>
          <c:order val="1"/>
          <c:tx>
            <c:strRef>
              <c:f>Pivots!$C$22:$C$23</c:f>
              <c:strCache>
                <c:ptCount val="1"/>
                <c:pt idx="0">
                  <c:v>Feb</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15-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17-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19-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1B-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1D-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1F-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21-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23-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25-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27-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Pivots!$C$24:$C$34</c:f>
              <c:numCache>
                <c:formatCode>#,##0</c:formatCode>
                <c:ptCount val="10"/>
                <c:pt idx="0">
                  <c:v>18932</c:v>
                </c:pt>
                <c:pt idx="1">
                  <c:v>6000</c:v>
                </c:pt>
                <c:pt idx="2">
                  <c:v>36813</c:v>
                </c:pt>
                <c:pt idx="3">
                  <c:v>5199</c:v>
                </c:pt>
                <c:pt idx="4">
                  <c:v>10741</c:v>
                </c:pt>
                <c:pt idx="5">
                  <c:v>37612</c:v>
                </c:pt>
                <c:pt idx="6">
                  <c:v>66000</c:v>
                </c:pt>
                <c:pt idx="7">
                  <c:v>10719</c:v>
                </c:pt>
                <c:pt idx="8">
                  <c:v>15830</c:v>
                </c:pt>
                <c:pt idx="9">
                  <c:v>11401</c:v>
                </c:pt>
              </c:numCache>
            </c:numRef>
          </c:val>
          <c:extLst>
            <c:ext xmlns:c16="http://schemas.microsoft.com/office/drawing/2014/chart" uri="{C3380CC4-5D6E-409C-BE32-E72D297353CC}">
              <c16:uniqueId val="{00000020-53A3-4BEB-AE51-3A1271ABA7A7}"/>
            </c:ext>
          </c:extLst>
        </c:ser>
        <c:ser>
          <c:idx val="2"/>
          <c:order val="2"/>
          <c:tx>
            <c:strRef>
              <c:f>Pivots!$D$22:$D$23</c:f>
              <c:strCache>
                <c:ptCount val="1"/>
                <c:pt idx="0">
                  <c:v>Mar</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29-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2B-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2D-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2F-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31-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33-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35-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37-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39-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3B-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Pivots!$D$24:$D$34</c:f>
              <c:numCache>
                <c:formatCode>#,##0</c:formatCode>
                <c:ptCount val="10"/>
                <c:pt idx="0">
                  <c:v>16798</c:v>
                </c:pt>
                <c:pt idx="1">
                  <c:v>6000</c:v>
                </c:pt>
                <c:pt idx="2">
                  <c:v>38662</c:v>
                </c:pt>
                <c:pt idx="3">
                  <c:v>6747</c:v>
                </c:pt>
                <c:pt idx="4">
                  <c:v>10272</c:v>
                </c:pt>
                <c:pt idx="5">
                  <c:v>37503</c:v>
                </c:pt>
                <c:pt idx="6">
                  <c:v>66000</c:v>
                </c:pt>
                <c:pt idx="7">
                  <c:v>10225</c:v>
                </c:pt>
                <c:pt idx="8">
                  <c:v>15030</c:v>
                </c:pt>
                <c:pt idx="9">
                  <c:v>12776</c:v>
                </c:pt>
              </c:numCache>
            </c:numRef>
          </c:val>
          <c:extLst>
            <c:ext xmlns:c16="http://schemas.microsoft.com/office/drawing/2014/chart" uri="{C3380CC4-5D6E-409C-BE32-E72D297353CC}">
              <c16:uniqueId val="{00000021-53A3-4BEB-AE51-3A1271ABA7A7}"/>
            </c:ext>
          </c:extLst>
        </c:ser>
        <c:ser>
          <c:idx val="3"/>
          <c:order val="3"/>
          <c:tx>
            <c:strRef>
              <c:f>Pivots!$E$22:$E$23</c:f>
              <c:strCache>
                <c:ptCount val="1"/>
                <c:pt idx="0">
                  <c:v>Apr</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3D-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3F-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41-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43-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45-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47-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49-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4B-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4D-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4F-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Pivots!$E$24:$E$34</c:f>
              <c:numCache>
                <c:formatCode>#,##0</c:formatCode>
                <c:ptCount val="10"/>
                <c:pt idx="0">
                  <c:v>17357</c:v>
                </c:pt>
                <c:pt idx="1">
                  <c:v>6000</c:v>
                </c:pt>
                <c:pt idx="2">
                  <c:v>38344</c:v>
                </c:pt>
                <c:pt idx="3">
                  <c:v>5761</c:v>
                </c:pt>
                <c:pt idx="4">
                  <c:v>9646</c:v>
                </c:pt>
                <c:pt idx="5">
                  <c:v>36586</c:v>
                </c:pt>
                <c:pt idx="6">
                  <c:v>66000</c:v>
                </c:pt>
                <c:pt idx="7">
                  <c:v>13121</c:v>
                </c:pt>
                <c:pt idx="8">
                  <c:v>13720</c:v>
                </c:pt>
                <c:pt idx="9">
                  <c:v>12669</c:v>
                </c:pt>
              </c:numCache>
            </c:numRef>
          </c:val>
          <c:extLst>
            <c:ext xmlns:c16="http://schemas.microsoft.com/office/drawing/2014/chart" uri="{C3380CC4-5D6E-409C-BE32-E72D297353CC}">
              <c16:uniqueId val="{00000022-53A3-4BEB-AE51-3A1271ABA7A7}"/>
            </c:ext>
          </c:extLst>
        </c:ser>
        <c:ser>
          <c:idx val="4"/>
          <c:order val="4"/>
          <c:tx>
            <c:strRef>
              <c:f>Pivots!$F$22:$F$23</c:f>
              <c:strCache>
                <c:ptCount val="1"/>
                <c:pt idx="0">
                  <c:v>May</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51-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53-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55-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57-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59-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5B-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5D-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5F-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61-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63-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Pivots!$F$24:$F$34</c:f>
              <c:numCache>
                <c:formatCode>#,##0</c:formatCode>
                <c:ptCount val="10"/>
                <c:pt idx="0">
                  <c:v>16843</c:v>
                </c:pt>
                <c:pt idx="1">
                  <c:v>6000</c:v>
                </c:pt>
                <c:pt idx="2">
                  <c:v>35268</c:v>
                </c:pt>
                <c:pt idx="3">
                  <c:v>6091</c:v>
                </c:pt>
                <c:pt idx="4">
                  <c:v>11167</c:v>
                </c:pt>
                <c:pt idx="5">
                  <c:v>39902</c:v>
                </c:pt>
                <c:pt idx="6">
                  <c:v>66000</c:v>
                </c:pt>
                <c:pt idx="7">
                  <c:v>9862</c:v>
                </c:pt>
                <c:pt idx="8">
                  <c:v>13225</c:v>
                </c:pt>
                <c:pt idx="9">
                  <c:v>12364</c:v>
                </c:pt>
              </c:numCache>
            </c:numRef>
          </c:val>
          <c:extLst>
            <c:ext xmlns:c16="http://schemas.microsoft.com/office/drawing/2014/chart" uri="{C3380CC4-5D6E-409C-BE32-E72D297353CC}">
              <c16:uniqueId val="{00000023-53A3-4BEB-AE51-3A1271ABA7A7}"/>
            </c:ext>
          </c:extLst>
        </c:ser>
        <c:ser>
          <c:idx val="5"/>
          <c:order val="5"/>
          <c:tx>
            <c:strRef>
              <c:f>Pivots!$G$22:$G$23</c:f>
              <c:strCache>
                <c:ptCount val="1"/>
                <c:pt idx="0">
                  <c:v>Jun</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65-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67-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69-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6B-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6D-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6F-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71-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73-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75-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77-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Pivots!$G$24:$G$34</c:f>
              <c:numCache>
                <c:formatCode>#,##0</c:formatCode>
                <c:ptCount val="10"/>
                <c:pt idx="0">
                  <c:v>17578</c:v>
                </c:pt>
                <c:pt idx="1">
                  <c:v>6000</c:v>
                </c:pt>
                <c:pt idx="2">
                  <c:v>34821</c:v>
                </c:pt>
                <c:pt idx="3">
                  <c:v>5948</c:v>
                </c:pt>
                <c:pt idx="4">
                  <c:v>10912</c:v>
                </c:pt>
                <c:pt idx="5">
                  <c:v>39367</c:v>
                </c:pt>
                <c:pt idx="6">
                  <c:v>66000</c:v>
                </c:pt>
                <c:pt idx="7">
                  <c:v>11272</c:v>
                </c:pt>
                <c:pt idx="8">
                  <c:v>15104</c:v>
                </c:pt>
                <c:pt idx="9">
                  <c:v>11819</c:v>
                </c:pt>
              </c:numCache>
            </c:numRef>
          </c:val>
          <c:extLst>
            <c:ext xmlns:c16="http://schemas.microsoft.com/office/drawing/2014/chart" uri="{C3380CC4-5D6E-409C-BE32-E72D297353CC}">
              <c16:uniqueId val="{00000024-53A3-4BEB-AE51-3A1271ABA7A7}"/>
            </c:ext>
          </c:extLst>
        </c:ser>
        <c:ser>
          <c:idx val="6"/>
          <c:order val="6"/>
          <c:tx>
            <c:strRef>
              <c:f>Pivots!$H$22:$H$23</c:f>
              <c:strCache>
                <c:ptCount val="1"/>
                <c:pt idx="0">
                  <c:v>Jul</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79-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7B-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7D-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7F-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81-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83-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85-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87-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89-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8B-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Pivots!$H$24:$H$34</c:f>
              <c:numCache>
                <c:formatCode>#,##0</c:formatCode>
                <c:ptCount val="10"/>
                <c:pt idx="0">
                  <c:v>16266</c:v>
                </c:pt>
                <c:pt idx="1">
                  <c:v>6000</c:v>
                </c:pt>
                <c:pt idx="2">
                  <c:v>39807</c:v>
                </c:pt>
                <c:pt idx="3">
                  <c:v>5132</c:v>
                </c:pt>
                <c:pt idx="4">
                  <c:v>11439</c:v>
                </c:pt>
                <c:pt idx="5">
                  <c:v>40178</c:v>
                </c:pt>
                <c:pt idx="6">
                  <c:v>66000</c:v>
                </c:pt>
                <c:pt idx="7">
                  <c:v>12337</c:v>
                </c:pt>
                <c:pt idx="8">
                  <c:v>16975</c:v>
                </c:pt>
                <c:pt idx="9">
                  <c:v>11352</c:v>
                </c:pt>
              </c:numCache>
            </c:numRef>
          </c:val>
          <c:extLst>
            <c:ext xmlns:c16="http://schemas.microsoft.com/office/drawing/2014/chart" uri="{C3380CC4-5D6E-409C-BE32-E72D297353CC}">
              <c16:uniqueId val="{00000025-53A3-4BEB-AE51-3A1271ABA7A7}"/>
            </c:ext>
          </c:extLst>
        </c:ser>
        <c:ser>
          <c:idx val="7"/>
          <c:order val="7"/>
          <c:tx>
            <c:strRef>
              <c:f>Pivots!$I$22:$I$23</c:f>
              <c:strCache>
                <c:ptCount val="1"/>
                <c:pt idx="0">
                  <c:v>Aug</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8D-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8F-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91-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93-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95-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97-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99-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9B-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9D-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9F-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Pivots!$I$24:$I$34</c:f>
              <c:numCache>
                <c:formatCode>#,##0</c:formatCode>
                <c:ptCount val="10"/>
                <c:pt idx="0">
                  <c:v>17722</c:v>
                </c:pt>
                <c:pt idx="1">
                  <c:v>6000</c:v>
                </c:pt>
                <c:pt idx="2">
                  <c:v>39102</c:v>
                </c:pt>
                <c:pt idx="3">
                  <c:v>5969</c:v>
                </c:pt>
                <c:pt idx="4">
                  <c:v>10786</c:v>
                </c:pt>
                <c:pt idx="5">
                  <c:v>35522</c:v>
                </c:pt>
                <c:pt idx="6">
                  <c:v>66000</c:v>
                </c:pt>
                <c:pt idx="7">
                  <c:v>12077</c:v>
                </c:pt>
                <c:pt idx="8">
                  <c:v>15502</c:v>
                </c:pt>
                <c:pt idx="9">
                  <c:v>12266</c:v>
                </c:pt>
              </c:numCache>
            </c:numRef>
          </c:val>
          <c:extLst>
            <c:ext xmlns:c16="http://schemas.microsoft.com/office/drawing/2014/chart" uri="{C3380CC4-5D6E-409C-BE32-E72D297353CC}">
              <c16:uniqueId val="{00000026-53A3-4BEB-AE51-3A1271ABA7A7}"/>
            </c:ext>
          </c:extLst>
        </c:ser>
        <c:ser>
          <c:idx val="8"/>
          <c:order val="8"/>
          <c:tx>
            <c:strRef>
              <c:f>Pivots!$J$22:$J$23</c:f>
              <c:strCache>
                <c:ptCount val="1"/>
                <c:pt idx="0">
                  <c:v>Sep</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A1-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A3-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A5-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A7-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A9-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AB-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AD-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AF-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B1-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B3-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Pivots!$J$24:$J$34</c:f>
              <c:numCache>
                <c:formatCode>#,##0</c:formatCode>
                <c:ptCount val="10"/>
                <c:pt idx="0">
                  <c:v>15150</c:v>
                </c:pt>
                <c:pt idx="1">
                  <c:v>6000</c:v>
                </c:pt>
                <c:pt idx="2">
                  <c:v>39280</c:v>
                </c:pt>
                <c:pt idx="3">
                  <c:v>5777</c:v>
                </c:pt>
                <c:pt idx="4">
                  <c:v>10635</c:v>
                </c:pt>
                <c:pt idx="5">
                  <c:v>39842</c:v>
                </c:pt>
                <c:pt idx="6">
                  <c:v>66000</c:v>
                </c:pt>
                <c:pt idx="7">
                  <c:v>12804</c:v>
                </c:pt>
                <c:pt idx="8">
                  <c:v>15872</c:v>
                </c:pt>
                <c:pt idx="9">
                  <c:v>11857</c:v>
                </c:pt>
              </c:numCache>
            </c:numRef>
          </c:val>
          <c:extLst>
            <c:ext xmlns:c16="http://schemas.microsoft.com/office/drawing/2014/chart" uri="{C3380CC4-5D6E-409C-BE32-E72D297353CC}">
              <c16:uniqueId val="{00000027-53A3-4BEB-AE51-3A1271ABA7A7}"/>
            </c:ext>
          </c:extLst>
        </c:ser>
        <c:ser>
          <c:idx val="9"/>
          <c:order val="9"/>
          <c:tx>
            <c:strRef>
              <c:f>Pivots!$K$22:$K$23</c:f>
              <c:strCache>
                <c:ptCount val="1"/>
                <c:pt idx="0">
                  <c:v>Oct</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B5-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B7-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B9-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BB-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BD-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BF-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C1-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C3-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C5-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C7-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Pivots!$K$24:$K$34</c:f>
              <c:numCache>
                <c:formatCode>#,##0</c:formatCode>
                <c:ptCount val="10"/>
                <c:pt idx="0">
                  <c:v>13683</c:v>
                </c:pt>
                <c:pt idx="1">
                  <c:v>6000</c:v>
                </c:pt>
                <c:pt idx="2">
                  <c:v>30758</c:v>
                </c:pt>
                <c:pt idx="3">
                  <c:v>5192</c:v>
                </c:pt>
                <c:pt idx="4">
                  <c:v>7407</c:v>
                </c:pt>
                <c:pt idx="5">
                  <c:v>30234</c:v>
                </c:pt>
                <c:pt idx="6">
                  <c:v>53000</c:v>
                </c:pt>
                <c:pt idx="7">
                  <c:v>8543</c:v>
                </c:pt>
                <c:pt idx="8">
                  <c:v>15195</c:v>
                </c:pt>
                <c:pt idx="9">
                  <c:v>10166</c:v>
                </c:pt>
              </c:numCache>
            </c:numRef>
          </c:val>
          <c:extLst>
            <c:ext xmlns:c16="http://schemas.microsoft.com/office/drawing/2014/chart" uri="{C3380CC4-5D6E-409C-BE32-E72D297353CC}">
              <c16:uniqueId val="{0000002B-53A3-4BEB-AE51-3A1271ABA7A7}"/>
            </c:ext>
          </c:extLst>
        </c:ser>
        <c:ser>
          <c:idx val="10"/>
          <c:order val="10"/>
          <c:tx>
            <c:strRef>
              <c:f>Pivots!$L$22:$L$23</c:f>
              <c:strCache>
                <c:ptCount val="1"/>
                <c:pt idx="0">
                  <c:v>Nov</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C9-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CB-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CD-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CF-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D1-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D3-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D5-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D7-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D9-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DB-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Pivots!$L$24:$L$34</c:f>
              <c:numCache>
                <c:formatCode>#,##0</c:formatCode>
                <c:ptCount val="10"/>
                <c:pt idx="0">
                  <c:v>9631</c:v>
                </c:pt>
                <c:pt idx="1">
                  <c:v>6000</c:v>
                </c:pt>
                <c:pt idx="2">
                  <c:v>29829</c:v>
                </c:pt>
                <c:pt idx="3">
                  <c:v>4552</c:v>
                </c:pt>
                <c:pt idx="4">
                  <c:v>9338</c:v>
                </c:pt>
                <c:pt idx="5">
                  <c:v>29794</c:v>
                </c:pt>
                <c:pt idx="6">
                  <c:v>56000</c:v>
                </c:pt>
                <c:pt idx="7">
                  <c:v>11284</c:v>
                </c:pt>
                <c:pt idx="8">
                  <c:v>13151</c:v>
                </c:pt>
                <c:pt idx="9">
                  <c:v>9303</c:v>
                </c:pt>
              </c:numCache>
            </c:numRef>
          </c:val>
          <c:extLst>
            <c:ext xmlns:c16="http://schemas.microsoft.com/office/drawing/2014/chart" uri="{C3380CC4-5D6E-409C-BE32-E72D297353CC}">
              <c16:uniqueId val="{0000002C-53A3-4BEB-AE51-3A1271ABA7A7}"/>
            </c:ext>
          </c:extLst>
        </c:ser>
        <c:ser>
          <c:idx val="11"/>
          <c:order val="11"/>
          <c:tx>
            <c:strRef>
              <c:f>Pivots!$M$22:$M$23</c:f>
              <c:strCache>
                <c:ptCount val="1"/>
                <c:pt idx="0">
                  <c:v>Dec</c:v>
                </c:pt>
              </c:strCache>
            </c:strRef>
          </c:tx>
          <c:dPt>
            <c:idx val="0"/>
            <c:bubble3D val="0"/>
            <c:spPr>
              <a:solidFill>
                <a:schemeClr val="accent6">
                  <a:tint val="43000"/>
                </a:schemeClr>
              </a:solidFill>
              <a:ln w="19050">
                <a:solidFill>
                  <a:schemeClr val="lt1"/>
                </a:solidFill>
              </a:ln>
              <a:effectLst/>
            </c:spPr>
            <c:extLst>
              <c:ext xmlns:c16="http://schemas.microsoft.com/office/drawing/2014/chart" uri="{C3380CC4-5D6E-409C-BE32-E72D297353CC}">
                <c16:uniqueId val="{000000DD-E41E-4C24-95F7-8EAB207F4B6E}"/>
              </c:ext>
            </c:extLst>
          </c:dPt>
          <c:dPt>
            <c:idx val="1"/>
            <c:bubble3D val="0"/>
            <c:spPr>
              <a:solidFill>
                <a:schemeClr val="accent6">
                  <a:tint val="56000"/>
                </a:schemeClr>
              </a:solidFill>
              <a:ln w="19050">
                <a:solidFill>
                  <a:schemeClr val="lt1"/>
                </a:solidFill>
              </a:ln>
              <a:effectLst/>
            </c:spPr>
            <c:extLst>
              <c:ext xmlns:c16="http://schemas.microsoft.com/office/drawing/2014/chart" uri="{C3380CC4-5D6E-409C-BE32-E72D297353CC}">
                <c16:uniqueId val="{000000DF-E41E-4C24-95F7-8EAB207F4B6E}"/>
              </c:ext>
            </c:extLst>
          </c:dPt>
          <c:dPt>
            <c:idx val="2"/>
            <c:bubble3D val="0"/>
            <c:spPr>
              <a:solidFill>
                <a:schemeClr val="accent6">
                  <a:tint val="69000"/>
                </a:schemeClr>
              </a:solidFill>
              <a:ln w="19050">
                <a:solidFill>
                  <a:schemeClr val="lt1"/>
                </a:solidFill>
              </a:ln>
              <a:effectLst/>
            </c:spPr>
            <c:extLst>
              <c:ext xmlns:c16="http://schemas.microsoft.com/office/drawing/2014/chart" uri="{C3380CC4-5D6E-409C-BE32-E72D297353CC}">
                <c16:uniqueId val="{000000E1-E41E-4C24-95F7-8EAB207F4B6E}"/>
              </c:ext>
            </c:extLst>
          </c:dPt>
          <c:dPt>
            <c:idx val="3"/>
            <c:bubble3D val="0"/>
            <c:spPr>
              <a:solidFill>
                <a:schemeClr val="accent6">
                  <a:tint val="81000"/>
                </a:schemeClr>
              </a:solidFill>
              <a:ln w="19050">
                <a:solidFill>
                  <a:schemeClr val="lt1"/>
                </a:solidFill>
              </a:ln>
              <a:effectLst/>
            </c:spPr>
            <c:extLst>
              <c:ext xmlns:c16="http://schemas.microsoft.com/office/drawing/2014/chart" uri="{C3380CC4-5D6E-409C-BE32-E72D297353CC}">
                <c16:uniqueId val="{000000E3-E41E-4C24-95F7-8EAB207F4B6E}"/>
              </c:ext>
            </c:extLst>
          </c:dPt>
          <c:dPt>
            <c:idx val="4"/>
            <c:bubble3D val="0"/>
            <c:spPr>
              <a:solidFill>
                <a:schemeClr val="accent6">
                  <a:tint val="94000"/>
                </a:schemeClr>
              </a:solidFill>
              <a:ln w="19050">
                <a:solidFill>
                  <a:schemeClr val="lt1"/>
                </a:solidFill>
              </a:ln>
              <a:effectLst/>
            </c:spPr>
            <c:extLst>
              <c:ext xmlns:c16="http://schemas.microsoft.com/office/drawing/2014/chart" uri="{C3380CC4-5D6E-409C-BE32-E72D297353CC}">
                <c16:uniqueId val="{000000E5-E41E-4C24-95F7-8EAB207F4B6E}"/>
              </c:ext>
            </c:extLst>
          </c:dPt>
          <c:dPt>
            <c:idx val="5"/>
            <c:bubble3D val="0"/>
            <c:spPr>
              <a:solidFill>
                <a:schemeClr val="accent6">
                  <a:shade val="93000"/>
                </a:schemeClr>
              </a:solidFill>
              <a:ln w="19050">
                <a:solidFill>
                  <a:schemeClr val="lt1"/>
                </a:solidFill>
              </a:ln>
              <a:effectLst/>
            </c:spPr>
            <c:extLst>
              <c:ext xmlns:c16="http://schemas.microsoft.com/office/drawing/2014/chart" uri="{C3380CC4-5D6E-409C-BE32-E72D297353CC}">
                <c16:uniqueId val="{000000E7-E41E-4C24-95F7-8EAB207F4B6E}"/>
              </c:ext>
            </c:extLst>
          </c:dPt>
          <c:dPt>
            <c:idx val="6"/>
            <c:bubble3D val="0"/>
            <c:spPr>
              <a:solidFill>
                <a:schemeClr val="accent6">
                  <a:shade val="80000"/>
                </a:schemeClr>
              </a:solidFill>
              <a:ln w="19050">
                <a:solidFill>
                  <a:schemeClr val="lt1"/>
                </a:solidFill>
              </a:ln>
              <a:effectLst/>
            </c:spPr>
            <c:extLst>
              <c:ext xmlns:c16="http://schemas.microsoft.com/office/drawing/2014/chart" uri="{C3380CC4-5D6E-409C-BE32-E72D297353CC}">
                <c16:uniqueId val="{000000E9-E41E-4C24-95F7-8EAB207F4B6E}"/>
              </c:ext>
            </c:extLst>
          </c:dPt>
          <c:dPt>
            <c:idx val="7"/>
            <c:bubble3D val="0"/>
            <c:spPr>
              <a:solidFill>
                <a:schemeClr val="accent6">
                  <a:shade val="68000"/>
                </a:schemeClr>
              </a:solidFill>
              <a:ln w="19050">
                <a:solidFill>
                  <a:schemeClr val="lt1"/>
                </a:solidFill>
              </a:ln>
              <a:effectLst/>
            </c:spPr>
            <c:extLst>
              <c:ext xmlns:c16="http://schemas.microsoft.com/office/drawing/2014/chart" uri="{C3380CC4-5D6E-409C-BE32-E72D297353CC}">
                <c16:uniqueId val="{000000EB-E41E-4C24-95F7-8EAB207F4B6E}"/>
              </c:ext>
            </c:extLst>
          </c:dPt>
          <c:dPt>
            <c:idx val="8"/>
            <c:bubble3D val="0"/>
            <c:spPr>
              <a:solidFill>
                <a:schemeClr val="accent6">
                  <a:shade val="55000"/>
                </a:schemeClr>
              </a:solidFill>
              <a:ln w="19050">
                <a:solidFill>
                  <a:schemeClr val="lt1"/>
                </a:solidFill>
              </a:ln>
              <a:effectLst/>
            </c:spPr>
            <c:extLst>
              <c:ext xmlns:c16="http://schemas.microsoft.com/office/drawing/2014/chart" uri="{C3380CC4-5D6E-409C-BE32-E72D297353CC}">
                <c16:uniqueId val="{000000ED-E41E-4C24-95F7-8EAB207F4B6E}"/>
              </c:ext>
            </c:extLst>
          </c:dPt>
          <c:dPt>
            <c:idx val="9"/>
            <c:bubble3D val="0"/>
            <c:spPr>
              <a:solidFill>
                <a:schemeClr val="accent6">
                  <a:shade val="42000"/>
                </a:schemeClr>
              </a:solidFill>
              <a:ln w="19050">
                <a:solidFill>
                  <a:schemeClr val="lt1"/>
                </a:solidFill>
              </a:ln>
              <a:effectLst/>
            </c:spPr>
            <c:extLst>
              <c:ext xmlns:c16="http://schemas.microsoft.com/office/drawing/2014/chart" uri="{C3380CC4-5D6E-409C-BE32-E72D297353CC}">
                <c16:uniqueId val="{000000EF-E41E-4C24-95F7-8EAB207F4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Pivots!$A$24:$A$34</c:f>
              <c:strCache>
                <c:ptCount val="10"/>
                <c:pt idx="0">
                  <c:v>Dining &amp; Entertainment </c:v>
                </c:pt>
                <c:pt idx="1">
                  <c:v>EMI/Loans </c:v>
                </c:pt>
                <c:pt idx="2">
                  <c:v>Groceries </c:v>
                </c:pt>
                <c:pt idx="3">
                  <c:v>Gym </c:v>
                </c:pt>
                <c:pt idx="4">
                  <c:v>Healthcare </c:v>
                </c:pt>
                <c:pt idx="5">
                  <c:v>Investments </c:v>
                </c:pt>
                <c:pt idx="6">
                  <c:v>Rent </c:v>
                </c:pt>
                <c:pt idx="7">
                  <c:v>Shopping &amp; Wants </c:v>
                </c:pt>
                <c:pt idx="8">
                  <c:v>Transportation </c:v>
                </c:pt>
                <c:pt idx="9">
                  <c:v>Utilities </c:v>
                </c:pt>
              </c:strCache>
            </c:strRef>
          </c:cat>
          <c:val>
            <c:numRef>
              <c:f>Pivots!$M$24:$M$34</c:f>
              <c:numCache>
                <c:formatCode>#,##0</c:formatCode>
                <c:ptCount val="10"/>
                <c:pt idx="0">
                  <c:v>14440</c:v>
                </c:pt>
                <c:pt idx="1">
                  <c:v>6000</c:v>
                </c:pt>
                <c:pt idx="2">
                  <c:v>35082</c:v>
                </c:pt>
                <c:pt idx="3">
                  <c:v>4795</c:v>
                </c:pt>
                <c:pt idx="4">
                  <c:v>8221</c:v>
                </c:pt>
                <c:pt idx="5">
                  <c:v>31691</c:v>
                </c:pt>
                <c:pt idx="6">
                  <c:v>56000</c:v>
                </c:pt>
                <c:pt idx="7">
                  <c:v>12091</c:v>
                </c:pt>
                <c:pt idx="8">
                  <c:v>11330</c:v>
                </c:pt>
                <c:pt idx="9">
                  <c:v>9383</c:v>
                </c:pt>
              </c:numCache>
            </c:numRef>
          </c:val>
          <c:extLst>
            <c:ext xmlns:c16="http://schemas.microsoft.com/office/drawing/2014/chart" uri="{C3380CC4-5D6E-409C-BE32-E72D297353CC}">
              <c16:uniqueId val="{0000002D-53A3-4BEB-AE51-3A1271ABA7A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[monthly_spending_dataset_2020_2025.xlsx]Pivots!savings_investments</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a:solidFill>
                  <a:sysClr val="windowText" lastClr="000000"/>
                </a:solidFill>
              </a:rPr>
              <a:t>Savings vs Investments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Pivots!$B$37</c:f>
              <c:strCache>
                <c:ptCount val="1"/>
                <c:pt idx="0">
                  <c:v>Sum of Savings </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Pivots!$B$38:$B$50</c:f>
              <c:numCache>
                <c:formatCode>#,##0</c:formatCode>
                <c:ptCount val="12"/>
                <c:pt idx="0">
                  <c:v>42601</c:v>
                </c:pt>
                <c:pt idx="1">
                  <c:v>44235</c:v>
                </c:pt>
                <c:pt idx="2">
                  <c:v>40377</c:v>
                </c:pt>
                <c:pt idx="3">
                  <c:v>45605</c:v>
                </c:pt>
                <c:pt idx="4">
                  <c:v>42365</c:v>
                </c:pt>
                <c:pt idx="5">
                  <c:v>47922</c:v>
                </c:pt>
                <c:pt idx="6">
                  <c:v>51323</c:v>
                </c:pt>
                <c:pt idx="7">
                  <c:v>48686</c:v>
                </c:pt>
                <c:pt idx="8">
                  <c:v>45851</c:v>
                </c:pt>
                <c:pt idx="9">
                  <c:v>39504</c:v>
                </c:pt>
                <c:pt idx="10">
                  <c:v>37290</c:v>
                </c:pt>
                <c:pt idx="11">
                  <c:v>39507</c:v>
                </c:pt>
              </c:numCache>
            </c:numRef>
          </c:val>
          <c:smooth val="0"/>
          <c:extLst>
            <c:ext xmlns:c16="http://schemas.microsoft.com/office/drawing/2014/chart" uri="{C3380CC4-5D6E-409C-BE32-E72D297353CC}">
              <c16:uniqueId val="{00000000-1101-4923-8043-7E18E7495050}"/>
            </c:ext>
          </c:extLst>
        </c:ser>
        <c:ser>
          <c:idx val="1"/>
          <c:order val="1"/>
          <c:tx>
            <c:strRef>
              <c:f>Pivots!$C$37</c:f>
              <c:strCache>
                <c:ptCount val="1"/>
                <c:pt idx="0">
                  <c:v>Sum of Investments </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Pivots!$A$38:$A$50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Pivots!$C$38:$C$50</c:f>
              <c:numCache>
                <c:formatCode>#,##0</c:formatCode>
                <c:ptCount val="12"/>
                <c:pt idx="0">
                  <c:v>37642</c:v>
                </c:pt>
                <c:pt idx="1">
                  <c:v>37612</c:v>
                </c:pt>
                <c:pt idx="2">
                  <c:v>37503</c:v>
                </c:pt>
                <c:pt idx="3">
                  <c:v>36586</c:v>
                </c:pt>
                <c:pt idx="4">
                  <c:v>39902</c:v>
                </c:pt>
                <c:pt idx="5">
                  <c:v>39367</c:v>
                </c:pt>
                <c:pt idx="6">
                  <c:v>40178</c:v>
                </c:pt>
                <c:pt idx="7">
                  <c:v>35522</c:v>
                </c:pt>
                <c:pt idx="8">
                  <c:v>39842</c:v>
                </c:pt>
                <c:pt idx="9">
                  <c:v>30234</c:v>
                </c:pt>
                <c:pt idx="10">
                  <c:v>29794</c:v>
                </c:pt>
                <c:pt idx="11">
                  <c:v>31691</c:v>
                </c:pt>
              </c:numCache>
            </c:numRef>
          </c:val>
          <c:smooth val="0"/>
          <c:extLst>
            <c:ext xmlns:c16="http://schemas.microsoft.com/office/drawing/2014/chart" uri="{C3380CC4-5D6E-409C-BE32-E72D297353CC}">
              <c16:uniqueId val="{00000001-1101-4923-8043-7E18E7495050}"/>
            </c:ext>
          </c:extLst>
        </c:ser>
        <c:dLbls>
          <c:showLegendKey val="0"/>
          <c:showVal val="0"/>
          <c:showCatName val="0"/>
          <c:showSerName val="0"/>
          <c:showPercent val="0"/>
          <c:showBubbleSize val="0"/>
        </c:dLbls>
        <c:marker val="1"/>
        <c:smooth val="0"/>
        <c:axId val="945486127"/>
        <c:axId val="945489487"/>
      </c:lineChart>
      <c:catAx>
        <c:axId val="94548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489487"/>
        <c:crosses val="autoZero"/>
        <c:auto val="1"/>
        <c:lblAlgn val="ctr"/>
        <c:lblOffset val="100"/>
        <c:noMultiLvlLbl val="0"/>
      </c:catAx>
      <c:valAx>
        <c:axId val="9454894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5486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[monthly_spending_dataset_2020_2025.xlsx]Pivots!top10_expen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Highest Spend</a:t>
            </a:r>
            <a:r>
              <a:rPr lang="en-US" b="1" baseline="0">
                <a:solidFill>
                  <a:sysClr val="windowText" lastClr="000000"/>
                </a:solidFill>
              </a:rPr>
              <a:t> M</a:t>
            </a:r>
            <a:r>
              <a:rPr lang="en-US" b="1">
                <a:solidFill>
                  <a:sysClr val="windowText" lastClr="000000"/>
                </a:solidFill>
              </a:rPr>
              <a:t>onths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Pivots!$B$53</c:f>
              <c:strCache>
                <c:ptCount val="1"/>
                <c:pt idx="0">
                  <c:v>Total</c:v>
                </c:pt>
              </c:strCache>
            </c:strRef>
          </c:tx>
          <c:spPr>
            <a:solidFill>
              <a:schemeClr val="accent6"/>
            </a:solidFill>
            <a:ln>
              <a:noFill/>
            </a:ln>
            <a:effectLst/>
          </c:spPr>
          <c:invertIfNegative val="0"/>
          <c:cat>
            <c:strRef>
              <c:f>Pivots!$A$54:$A$66</c:f>
              <c:strCache>
                <c:ptCount val="12"/>
                <c:pt idx="0">
                  <c:v>Jul</c:v>
                </c:pt>
                <c:pt idx="1">
                  <c:v>Sep</c:v>
                </c:pt>
                <c:pt idx="2">
                  <c:v>Aug</c:v>
                </c:pt>
                <c:pt idx="3">
                  <c:v>Jan</c:v>
                </c:pt>
                <c:pt idx="4">
                  <c:v>Mar</c:v>
                </c:pt>
                <c:pt idx="5">
                  <c:v>Feb</c:v>
                </c:pt>
                <c:pt idx="6">
                  <c:v>Apr</c:v>
                </c:pt>
                <c:pt idx="7">
                  <c:v>Jun</c:v>
                </c:pt>
                <c:pt idx="8">
                  <c:v>May</c:v>
                </c:pt>
                <c:pt idx="9">
                  <c:v>Dec</c:v>
                </c:pt>
                <c:pt idx="10">
                  <c:v>Oct</c:v>
                </c:pt>
                <c:pt idx="11">
                  <c:v>Nov</c:v>
                </c:pt>
              </c:strCache>
            </c:strRef>
          </c:cat>
          <c:val>
            <c:numRef>
              <c:f>Pivots!$B$54:$B$66</c:f>
              <c:numCache>
                <c:formatCode>#,##0</c:formatCode>
                <c:ptCount val="12"/>
                <c:pt idx="0">
                  <c:v>225486</c:v>
                </c:pt>
                <c:pt idx="1">
                  <c:v>223217</c:v>
                </c:pt>
                <c:pt idx="2">
                  <c:v>220946</c:v>
                </c:pt>
                <c:pt idx="3">
                  <c:v>220830</c:v>
                </c:pt>
                <c:pt idx="4">
                  <c:v>220013</c:v>
                </c:pt>
                <c:pt idx="5">
                  <c:v>219247</c:v>
                </c:pt>
                <c:pt idx="6">
                  <c:v>219204</c:v>
                </c:pt>
                <c:pt idx="7">
                  <c:v>218821</c:v>
                </c:pt>
                <c:pt idx="8">
                  <c:v>216722</c:v>
                </c:pt>
                <c:pt idx="9">
                  <c:v>189033</c:v>
                </c:pt>
                <c:pt idx="10">
                  <c:v>180178</c:v>
                </c:pt>
                <c:pt idx="11">
                  <c:v>178882</c:v>
                </c:pt>
              </c:numCache>
            </c:numRef>
          </c:val>
          <c:extLst>
            <c:ext xmlns:c16="http://schemas.microsoft.com/office/drawing/2014/chart" uri="{C3380CC4-5D6E-409C-BE32-E72D297353CC}">
              <c16:uniqueId val="{00000000-D009-4049-947A-B2043FBE93DA}"/>
            </c:ext>
          </c:extLst>
        </c:ser>
        <c:dLbls>
          <c:showLegendKey val="0"/>
          <c:showVal val="0"/>
          <c:showCatName val="0"/>
          <c:showSerName val="0"/>
          <c:showPercent val="0"/>
          <c:showBubbleSize val="0"/>
        </c:dLbls>
        <c:gapWidth val="150"/>
        <c:axId val="699018720"/>
        <c:axId val="542773616"/>
      </c:barChart>
      <c:catAx>
        <c:axId val="69901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2773616"/>
        <c:crosses val="autoZero"/>
        <c:auto val="1"/>
        <c:lblAlgn val="ctr"/>
        <c:lblOffset val="100"/>
        <c:noMultiLvlLbl val="0"/>
      </c:catAx>
      <c:valAx>
        <c:axId val="542773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9901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[monthly_spending_dataset_2020_2025.xlsx]Pivots!PivotTable7</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Surplus Rate Trend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73621103117509E-2"/>
          <c:y val="0.29910552498929266"/>
          <c:w val="0.93405275779376495"/>
          <c:h val="0.57398884239888426"/>
        </c:manualLayout>
      </c:layout>
      <c:lineChart>
        <c:grouping val="standard"/>
        <c:varyColors val="0"/>
        <c:ser>
          <c:idx val="0"/>
          <c:order val="0"/>
          <c:tx>
            <c:strRef>
              <c:f>Pivots!$B$67</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Pivots!$A$68:$A$74</c:f>
              <c:strCache>
                <c:ptCount val="6"/>
                <c:pt idx="0">
                  <c:v>2020</c:v>
                </c:pt>
                <c:pt idx="1">
                  <c:v>2021</c:v>
                </c:pt>
                <c:pt idx="2">
                  <c:v>2022</c:v>
                </c:pt>
                <c:pt idx="3">
                  <c:v>2023</c:v>
                </c:pt>
                <c:pt idx="4">
                  <c:v>2024</c:v>
                </c:pt>
                <c:pt idx="5">
                  <c:v>2025</c:v>
                </c:pt>
              </c:strCache>
            </c:strRef>
          </c:cat>
          <c:val>
            <c:numRef>
              <c:f>Pivots!$B$68:$B$74</c:f>
              <c:numCache>
                <c:formatCode>0.0%</c:formatCode>
                <c:ptCount val="6"/>
                <c:pt idx="0">
                  <c:v>0.12496736111111113</c:v>
                </c:pt>
                <c:pt idx="1">
                  <c:v>0.20763541666666671</c:v>
                </c:pt>
                <c:pt idx="2">
                  <c:v>0.29359548611111108</c:v>
                </c:pt>
                <c:pt idx="3">
                  <c:v>0.36170262896825406</c:v>
                </c:pt>
                <c:pt idx="4">
                  <c:v>0.23877027529761899</c:v>
                </c:pt>
                <c:pt idx="5">
                  <c:v>0.35456944444444449</c:v>
                </c:pt>
              </c:numCache>
            </c:numRef>
          </c:val>
          <c:smooth val="0"/>
          <c:extLst>
            <c:ext xmlns:c16="http://schemas.microsoft.com/office/drawing/2014/chart" uri="{C3380CC4-5D6E-409C-BE32-E72D297353CC}">
              <c16:uniqueId val="{00000000-D4FF-47A9-A814-1335C709CD14}"/>
            </c:ext>
          </c:extLst>
        </c:ser>
        <c:dLbls>
          <c:dLblPos val="t"/>
          <c:showLegendKey val="0"/>
          <c:showVal val="1"/>
          <c:showCatName val="0"/>
          <c:showSerName val="0"/>
          <c:showPercent val="0"/>
          <c:showBubbleSize val="0"/>
        </c:dLbls>
        <c:smooth val="0"/>
        <c:axId val="1616436192"/>
        <c:axId val="1616441952"/>
      </c:lineChart>
      <c:catAx>
        <c:axId val="161643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41952"/>
        <c:crosses val="autoZero"/>
        <c:auto val="1"/>
        <c:lblAlgn val="ctr"/>
        <c:lblOffset val="100"/>
        <c:noMultiLvlLbl val="0"/>
      </c:catAx>
      <c:valAx>
        <c:axId val="1616441952"/>
        <c:scaling>
          <c:orientation val="minMax"/>
        </c:scaling>
        <c:delete val="1"/>
        <c:axPos val="l"/>
        <c:numFmt formatCode="0.0%" sourceLinked="1"/>
        <c:majorTickMark val="out"/>
        <c:minorTickMark val="none"/>
        <c:tickLblPos val="nextTo"/>
        <c:crossAx val="161643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235856</xdr:colOff>
      <xdr:row>2</xdr:row>
      <xdr:rowOff>102809</xdr:rowOff>
    </xdr:from>
    <xdr:to>
      <xdr:col>6</xdr:col>
      <xdr:colOff>550332</xdr:colOff>
      <xdr:row>5</xdr:row>
      <xdr:rowOff>0</xdr:rowOff>
    </xdr:to>
    <xdr:sp macro="" textlink="">
      <xdr:nvSpPr>
        <xdr:cNvPr id="2" name="Rectangle: Rounded Corners 1">
          <a:extLst>
            <a:ext uri="{FF2B5EF4-FFF2-40B4-BE49-F238E27FC236}">
              <a16:creationId xmlns:a16="http://schemas.microsoft.com/office/drawing/2014/main" id="{27F9009A-26C3-D812-37E4-10AFF6B4952C}"/>
            </a:ext>
          </a:extLst>
        </xdr:cNvPr>
        <xdr:cNvSpPr/>
      </xdr:nvSpPr>
      <xdr:spPr>
        <a:xfrm>
          <a:off x="2679094" y="550333"/>
          <a:ext cx="1536095" cy="441477"/>
        </a:xfrm>
        <a:prstGeom prst="roundRect">
          <a:avLst/>
        </a:prstGeom>
        <a:solidFill>
          <a:schemeClr val="accent6">
            <a:lumMod val="60000"/>
            <a:lumOff val="40000"/>
          </a:schemeClr>
        </a:solidFill>
        <a:effectLst>
          <a:glow rad="63500">
            <a:schemeClr val="accent6">
              <a:satMod val="175000"/>
              <a:alpha val="40000"/>
            </a:schemeClr>
          </a:glow>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514047</xdr:colOff>
      <xdr:row>2</xdr:row>
      <xdr:rowOff>84667</xdr:rowOff>
    </xdr:from>
    <xdr:to>
      <xdr:col>7</xdr:col>
      <xdr:colOff>84666</xdr:colOff>
      <xdr:row>3</xdr:row>
      <xdr:rowOff>96763</xdr:rowOff>
    </xdr:to>
    <xdr:sp macro="" textlink="">
      <xdr:nvSpPr>
        <xdr:cNvPr id="3" name="TextBox 2">
          <a:extLst>
            <a:ext uri="{FF2B5EF4-FFF2-40B4-BE49-F238E27FC236}">
              <a16:creationId xmlns:a16="http://schemas.microsoft.com/office/drawing/2014/main" id="{549DFBA8-8A2F-EE81-371B-A5CD43141BC1}"/>
            </a:ext>
          </a:extLst>
        </xdr:cNvPr>
        <xdr:cNvSpPr txBox="1"/>
      </xdr:nvSpPr>
      <xdr:spPr>
        <a:xfrm>
          <a:off x="2957285" y="532191"/>
          <a:ext cx="1403048" cy="19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Income</a:t>
          </a:r>
          <a:endParaRPr lang="en-IN" sz="1200" b="1"/>
        </a:p>
      </xdr:txBody>
    </xdr:sp>
    <xdr:clientData/>
  </xdr:twoCellAnchor>
  <xdr:twoCellAnchor>
    <xdr:from>
      <xdr:col>5</xdr:col>
      <xdr:colOff>24189</xdr:colOff>
      <xdr:row>3</xdr:row>
      <xdr:rowOff>96762</xdr:rowOff>
    </xdr:from>
    <xdr:to>
      <xdr:col>6</xdr:col>
      <xdr:colOff>314475</xdr:colOff>
      <xdr:row>4</xdr:row>
      <xdr:rowOff>144780</xdr:rowOff>
    </xdr:to>
    <xdr:sp macro="" textlink="Pivots!A4:B4">
      <xdr:nvSpPr>
        <xdr:cNvPr id="4" name="TextBox 3">
          <a:extLst>
            <a:ext uri="{FF2B5EF4-FFF2-40B4-BE49-F238E27FC236}">
              <a16:creationId xmlns:a16="http://schemas.microsoft.com/office/drawing/2014/main" id="{C1716A75-0688-4A02-A98B-CDE0B32A1DDD}"/>
            </a:ext>
          </a:extLst>
        </xdr:cNvPr>
        <xdr:cNvSpPr txBox="1"/>
      </xdr:nvSpPr>
      <xdr:spPr>
        <a:xfrm>
          <a:off x="3072189" y="721602"/>
          <a:ext cx="899886" cy="230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52C2B9-92FB-450F-9633-1233E9AE5BDE}" type="TxLink">
            <a:rPr lang="en-US" sz="1200" b="1" i="0" u="none" strike="noStrike">
              <a:solidFill>
                <a:srgbClr val="000000"/>
              </a:solidFill>
              <a:latin typeface="Calibri"/>
              <a:ea typeface="Calibri"/>
              <a:cs typeface="Calibri"/>
            </a:rPr>
            <a:pPr/>
            <a:t>3,480,800</a:t>
          </a:fld>
          <a:endParaRPr lang="en-IN" sz="1400" b="1"/>
        </a:p>
      </xdr:txBody>
    </xdr:sp>
    <xdr:clientData/>
  </xdr:twoCellAnchor>
  <xdr:twoCellAnchor>
    <xdr:from>
      <xdr:col>9</xdr:col>
      <xdr:colOff>544285</xdr:colOff>
      <xdr:row>2</xdr:row>
      <xdr:rowOff>78618</xdr:rowOff>
    </xdr:from>
    <xdr:to>
      <xdr:col>12</xdr:col>
      <xdr:colOff>247952</xdr:colOff>
      <xdr:row>4</xdr:row>
      <xdr:rowOff>157238</xdr:rowOff>
    </xdr:to>
    <xdr:sp macro="" textlink="">
      <xdr:nvSpPr>
        <xdr:cNvPr id="5" name="Rectangle: Rounded Corners 4">
          <a:extLst>
            <a:ext uri="{FF2B5EF4-FFF2-40B4-BE49-F238E27FC236}">
              <a16:creationId xmlns:a16="http://schemas.microsoft.com/office/drawing/2014/main" id="{5E5951B7-F895-4434-87D6-320B1209B5CF}"/>
            </a:ext>
          </a:extLst>
        </xdr:cNvPr>
        <xdr:cNvSpPr/>
      </xdr:nvSpPr>
      <xdr:spPr>
        <a:xfrm>
          <a:off x="6041571" y="526142"/>
          <a:ext cx="1536095" cy="441477"/>
        </a:xfrm>
        <a:prstGeom prst="roundRect">
          <a:avLst/>
        </a:prstGeom>
        <a:solidFill>
          <a:schemeClr val="accent6">
            <a:lumMod val="60000"/>
            <a:lumOff val="40000"/>
          </a:schemeClr>
        </a:solidFill>
        <a:effectLst>
          <a:glow rad="63500">
            <a:schemeClr val="accent6">
              <a:satMod val="175000"/>
              <a:alpha val="40000"/>
            </a:schemeClr>
          </a:glow>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205620</xdr:colOff>
      <xdr:row>2</xdr:row>
      <xdr:rowOff>60475</xdr:rowOff>
    </xdr:from>
    <xdr:to>
      <xdr:col>12</xdr:col>
      <xdr:colOff>387049</xdr:colOff>
      <xdr:row>3</xdr:row>
      <xdr:rowOff>145142</xdr:rowOff>
    </xdr:to>
    <xdr:sp macro="" textlink="">
      <xdr:nvSpPr>
        <xdr:cNvPr id="6" name="TextBox 5">
          <a:extLst>
            <a:ext uri="{FF2B5EF4-FFF2-40B4-BE49-F238E27FC236}">
              <a16:creationId xmlns:a16="http://schemas.microsoft.com/office/drawing/2014/main" id="{D24D32A1-DA0E-4E02-875A-D829E2E9CBCA}"/>
            </a:ext>
          </a:extLst>
        </xdr:cNvPr>
        <xdr:cNvSpPr txBox="1"/>
      </xdr:nvSpPr>
      <xdr:spPr>
        <a:xfrm>
          <a:off x="6313715" y="507999"/>
          <a:ext cx="1403048" cy="266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Surplus</a:t>
          </a:r>
          <a:endParaRPr lang="en-IN" sz="1200" b="1"/>
        </a:p>
      </xdr:txBody>
    </xdr:sp>
    <xdr:clientData/>
  </xdr:twoCellAnchor>
  <xdr:twoCellAnchor>
    <xdr:from>
      <xdr:col>10</xdr:col>
      <xdr:colOff>347618</xdr:colOff>
      <xdr:row>3</xdr:row>
      <xdr:rowOff>86239</xdr:rowOff>
    </xdr:from>
    <xdr:to>
      <xdr:col>12</xdr:col>
      <xdr:colOff>27094</xdr:colOff>
      <xdr:row>4</xdr:row>
      <xdr:rowOff>129540</xdr:rowOff>
    </xdr:to>
    <xdr:sp macro="" textlink="Pivots!C4">
      <xdr:nvSpPr>
        <xdr:cNvPr id="7" name="TextBox 6">
          <a:extLst>
            <a:ext uri="{FF2B5EF4-FFF2-40B4-BE49-F238E27FC236}">
              <a16:creationId xmlns:a16="http://schemas.microsoft.com/office/drawing/2014/main" id="{B958EC0E-A586-4051-818C-20405A6F6E0D}"/>
            </a:ext>
          </a:extLst>
        </xdr:cNvPr>
        <xdr:cNvSpPr txBox="1"/>
      </xdr:nvSpPr>
      <xdr:spPr>
        <a:xfrm>
          <a:off x="6443618" y="711079"/>
          <a:ext cx="898676" cy="226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FD786B-335C-48BF-AD42-9B691B8511EF}" type="TxLink">
            <a:rPr lang="en-US" sz="1200" b="1" i="0" u="none" strike="noStrike">
              <a:solidFill>
                <a:srgbClr val="000000"/>
              </a:solidFill>
              <a:latin typeface="Calibri"/>
              <a:ea typeface="Calibri"/>
              <a:cs typeface="Calibri"/>
            </a:rPr>
            <a:pPr marL="0" indent="0"/>
            <a:t>948,221</a:t>
          </a:fld>
          <a:endParaRPr lang="en-IN" sz="1200" b="1" i="0" u="none" strike="noStrike">
            <a:solidFill>
              <a:srgbClr val="000000"/>
            </a:solidFill>
            <a:latin typeface="Calibri"/>
            <a:ea typeface="Calibri"/>
            <a:cs typeface="Calibri"/>
          </a:endParaRPr>
        </a:p>
      </xdr:txBody>
    </xdr:sp>
    <xdr:clientData/>
  </xdr:twoCellAnchor>
  <xdr:twoCellAnchor>
    <xdr:from>
      <xdr:col>7</xdr:col>
      <xdr:colOff>91923</xdr:colOff>
      <xdr:row>2</xdr:row>
      <xdr:rowOff>91923</xdr:rowOff>
    </xdr:from>
    <xdr:to>
      <xdr:col>9</xdr:col>
      <xdr:colOff>406399</xdr:colOff>
      <xdr:row>4</xdr:row>
      <xdr:rowOff>170543</xdr:rowOff>
    </xdr:to>
    <xdr:sp macro="" textlink="">
      <xdr:nvSpPr>
        <xdr:cNvPr id="8" name="Rectangle: Rounded Corners 7">
          <a:extLst>
            <a:ext uri="{FF2B5EF4-FFF2-40B4-BE49-F238E27FC236}">
              <a16:creationId xmlns:a16="http://schemas.microsoft.com/office/drawing/2014/main" id="{FA89F192-B66E-411C-823B-A9D5C7E076C5}"/>
            </a:ext>
          </a:extLst>
        </xdr:cNvPr>
        <xdr:cNvSpPr/>
      </xdr:nvSpPr>
      <xdr:spPr>
        <a:xfrm>
          <a:off x="4367590" y="539447"/>
          <a:ext cx="1536095" cy="441477"/>
        </a:xfrm>
        <a:prstGeom prst="roundRect">
          <a:avLst/>
        </a:prstGeom>
        <a:solidFill>
          <a:schemeClr val="accent6">
            <a:lumMod val="60000"/>
            <a:lumOff val="40000"/>
          </a:schemeClr>
        </a:solidFill>
        <a:effectLst>
          <a:glow rad="63500">
            <a:schemeClr val="accent6">
              <a:satMod val="175000"/>
              <a:alpha val="40000"/>
            </a:schemeClr>
          </a:glow>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243114</xdr:colOff>
      <xdr:row>2</xdr:row>
      <xdr:rowOff>91923</xdr:rowOff>
    </xdr:from>
    <xdr:to>
      <xdr:col>9</xdr:col>
      <xdr:colOff>424543</xdr:colOff>
      <xdr:row>3</xdr:row>
      <xdr:rowOff>145142</xdr:rowOff>
    </xdr:to>
    <xdr:sp macro="" textlink="">
      <xdr:nvSpPr>
        <xdr:cNvPr id="9" name="TextBox 8">
          <a:extLst>
            <a:ext uri="{FF2B5EF4-FFF2-40B4-BE49-F238E27FC236}">
              <a16:creationId xmlns:a16="http://schemas.microsoft.com/office/drawing/2014/main" id="{D82B96BA-D64B-4867-9169-88CAAE3A735B}"/>
            </a:ext>
          </a:extLst>
        </xdr:cNvPr>
        <xdr:cNvSpPr txBox="1"/>
      </xdr:nvSpPr>
      <xdr:spPr>
        <a:xfrm>
          <a:off x="4518781" y="539447"/>
          <a:ext cx="1403048" cy="234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Expenditure</a:t>
          </a:r>
          <a:endParaRPr lang="en-IN" sz="1200" b="1"/>
        </a:p>
      </xdr:txBody>
    </xdr:sp>
    <xdr:clientData/>
  </xdr:twoCellAnchor>
  <xdr:twoCellAnchor>
    <xdr:from>
      <xdr:col>7</xdr:col>
      <xdr:colOff>491066</xdr:colOff>
      <xdr:row>3</xdr:row>
      <xdr:rowOff>79829</xdr:rowOff>
    </xdr:from>
    <xdr:to>
      <xdr:col>9</xdr:col>
      <xdr:colOff>170542</xdr:colOff>
      <xdr:row>4</xdr:row>
      <xdr:rowOff>91924</xdr:rowOff>
    </xdr:to>
    <xdr:sp macro="" textlink="Pivots!B4">
      <xdr:nvSpPr>
        <xdr:cNvPr id="10" name="TextBox 9">
          <a:extLst>
            <a:ext uri="{FF2B5EF4-FFF2-40B4-BE49-F238E27FC236}">
              <a16:creationId xmlns:a16="http://schemas.microsoft.com/office/drawing/2014/main" id="{70AAC8AC-AC32-4228-9E08-4FBD2A8DA0D2}"/>
            </a:ext>
          </a:extLst>
        </xdr:cNvPr>
        <xdr:cNvSpPr txBox="1"/>
      </xdr:nvSpPr>
      <xdr:spPr>
        <a:xfrm>
          <a:off x="4766733" y="708781"/>
          <a:ext cx="901095" cy="19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666803-6D16-4011-BB38-C830E8F42B32}" type="TxLink">
            <a:rPr lang="en-US" sz="1200" b="1" i="0" u="none" strike="noStrike">
              <a:solidFill>
                <a:srgbClr val="000000"/>
              </a:solidFill>
              <a:latin typeface="Calibri"/>
              <a:ea typeface="Calibri"/>
              <a:cs typeface="Calibri"/>
            </a:rPr>
            <a:pPr/>
            <a:t>2,532,579</a:t>
          </a:fld>
          <a:endParaRPr lang="en-IN" sz="1600" b="1"/>
        </a:p>
      </xdr:txBody>
    </xdr:sp>
    <xdr:clientData/>
  </xdr:twoCellAnchor>
  <xdr:twoCellAnchor>
    <xdr:from>
      <xdr:col>12</xdr:col>
      <xdr:colOff>389467</xdr:colOff>
      <xdr:row>2</xdr:row>
      <xdr:rowOff>81037</xdr:rowOff>
    </xdr:from>
    <xdr:to>
      <xdr:col>15</xdr:col>
      <xdr:colOff>93133</xdr:colOff>
      <xdr:row>4</xdr:row>
      <xdr:rowOff>159657</xdr:rowOff>
    </xdr:to>
    <xdr:sp macro="" textlink="">
      <xdr:nvSpPr>
        <xdr:cNvPr id="11" name="Rectangle: Rounded Corners 10">
          <a:extLst>
            <a:ext uri="{FF2B5EF4-FFF2-40B4-BE49-F238E27FC236}">
              <a16:creationId xmlns:a16="http://schemas.microsoft.com/office/drawing/2014/main" id="{DBCF34B6-5D8C-4374-B6BC-161892F92949}"/>
            </a:ext>
          </a:extLst>
        </xdr:cNvPr>
        <xdr:cNvSpPr/>
      </xdr:nvSpPr>
      <xdr:spPr>
        <a:xfrm>
          <a:off x="7719181" y="528561"/>
          <a:ext cx="1536095" cy="441477"/>
        </a:xfrm>
        <a:prstGeom prst="roundRect">
          <a:avLst/>
        </a:prstGeom>
        <a:solidFill>
          <a:schemeClr val="accent6">
            <a:lumMod val="60000"/>
            <a:lumOff val="40000"/>
          </a:schemeClr>
        </a:solidFill>
        <a:effectLst>
          <a:glow rad="63500">
            <a:schemeClr val="accent6">
              <a:satMod val="175000"/>
              <a:alpha val="40000"/>
            </a:schemeClr>
          </a:glow>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393096</xdr:colOff>
      <xdr:row>2</xdr:row>
      <xdr:rowOff>62894</xdr:rowOff>
    </xdr:from>
    <xdr:to>
      <xdr:col>15</xdr:col>
      <xdr:colOff>135468</xdr:colOff>
      <xdr:row>3</xdr:row>
      <xdr:rowOff>133047</xdr:rowOff>
    </xdr:to>
    <xdr:sp macro="" textlink="">
      <xdr:nvSpPr>
        <xdr:cNvPr id="12" name="TextBox 11">
          <a:extLst>
            <a:ext uri="{FF2B5EF4-FFF2-40B4-BE49-F238E27FC236}">
              <a16:creationId xmlns:a16="http://schemas.microsoft.com/office/drawing/2014/main" id="{2B7C4034-E588-401B-A546-0F3B5CE1D290}"/>
            </a:ext>
          </a:extLst>
        </xdr:cNvPr>
        <xdr:cNvSpPr txBox="1"/>
      </xdr:nvSpPr>
      <xdr:spPr>
        <a:xfrm>
          <a:off x="7722810" y="510418"/>
          <a:ext cx="1574801" cy="251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Surplus</a:t>
          </a:r>
          <a:r>
            <a:rPr lang="en-IN" sz="1200" b="1" baseline="0"/>
            <a:t> Rate</a:t>
          </a:r>
          <a:endParaRPr lang="en-IN" sz="1200" b="1"/>
        </a:p>
      </xdr:txBody>
    </xdr:sp>
    <xdr:clientData/>
  </xdr:twoCellAnchor>
  <xdr:twoCellAnchor>
    <xdr:from>
      <xdr:col>13</xdr:col>
      <xdr:colOff>237551</xdr:colOff>
      <xdr:row>3</xdr:row>
      <xdr:rowOff>76562</xdr:rowOff>
    </xdr:from>
    <xdr:to>
      <xdr:col>14</xdr:col>
      <xdr:colOff>526627</xdr:colOff>
      <xdr:row>4</xdr:row>
      <xdr:rowOff>88657</xdr:rowOff>
    </xdr:to>
    <xdr:sp macro="" textlink="Pivots!D4">
      <xdr:nvSpPr>
        <xdr:cNvPr id="13" name="TextBox 12">
          <a:extLst>
            <a:ext uri="{FF2B5EF4-FFF2-40B4-BE49-F238E27FC236}">
              <a16:creationId xmlns:a16="http://schemas.microsoft.com/office/drawing/2014/main" id="{362E7E64-D591-4260-B41C-887D26498323}"/>
            </a:ext>
          </a:extLst>
        </xdr:cNvPr>
        <xdr:cNvSpPr txBox="1"/>
      </xdr:nvSpPr>
      <xdr:spPr>
        <a:xfrm>
          <a:off x="8162351" y="701402"/>
          <a:ext cx="898676" cy="19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BD1BC2-59B3-4BCB-8A63-F278D3EC811C}" type="TxLink">
            <a:rPr lang="en-US" sz="1200" b="1" i="0" u="none" strike="noStrike">
              <a:solidFill>
                <a:srgbClr val="000000"/>
              </a:solidFill>
              <a:latin typeface="Calibri"/>
              <a:ea typeface="Calibri"/>
              <a:cs typeface="Calibri"/>
            </a:rPr>
            <a:pPr marL="0" indent="0"/>
            <a:t>26.0%</a:t>
          </a:fld>
          <a:endParaRPr lang="en-IN" sz="1200" b="1" i="0" u="none" strike="noStrike">
            <a:solidFill>
              <a:srgbClr val="000000"/>
            </a:solidFill>
            <a:latin typeface="Calibri"/>
            <a:ea typeface="Calibri"/>
            <a:cs typeface="Calibri"/>
          </a:endParaRPr>
        </a:p>
      </xdr:txBody>
    </xdr:sp>
    <xdr:clientData/>
  </xdr:twoCellAnchor>
  <xdr:twoCellAnchor>
    <xdr:from>
      <xdr:col>15</xdr:col>
      <xdr:colOff>203200</xdr:colOff>
      <xdr:row>2</xdr:row>
      <xdr:rowOff>82247</xdr:rowOff>
    </xdr:from>
    <xdr:to>
      <xdr:col>17</xdr:col>
      <xdr:colOff>517676</xdr:colOff>
      <xdr:row>4</xdr:row>
      <xdr:rowOff>160867</xdr:rowOff>
    </xdr:to>
    <xdr:sp macro="" textlink="">
      <xdr:nvSpPr>
        <xdr:cNvPr id="14" name="Rectangle: Rounded Corners 13">
          <a:extLst>
            <a:ext uri="{FF2B5EF4-FFF2-40B4-BE49-F238E27FC236}">
              <a16:creationId xmlns:a16="http://schemas.microsoft.com/office/drawing/2014/main" id="{CAF12383-C29B-4568-B5C0-4F96383DD03D}"/>
            </a:ext>
          </a:extLst>
        </xdr:cNvPr>
        <xdr:cNvSpPr/>
      </xdr:nvSpPr>
      <xdr:spPr>
        <a:xfrm>
          <a:off x="9365343" y="529771"/>
          <a:ext cx="1536095" cy="441477"/>
        </a:xfrm>
        <a:prstGeom prst="roundRect">
          <a:avLst/>
        </a:prstGeom>
        <a:solidFill>
          <a:schemeClr val="accent6">
            <a:lumMod val="60000"/>
            <a:lumOff val="40000"/>
          </a:schemeClr>
        </a:solidFill>
        <a:effectLst>
          <a:glow rad="63500">
            <a:schemeClr val="accent6">
              <a:satMod val="175000"/>
              <a:alpha val="40000"/>
            </a:schemeClr>
          </a:glow>
          <a:outerShdw blurRad="50800" dist="38100" algn="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217714</xdr:colOff>
      <xdr:row>2</xdr:row>
      <xdr:rowOff>64104</xdr:rowOff>
    </xdr:from>
    <xdr:to>
      <xdr:col>18</xdr:col>
      <xdr:colOff>52011</xdr:colOff>
      <xdr:row>3</xdr:row>
      <xdr:rowOff>133047</xdr:rowOff>
    </xdr:to>
    <xdr:sp macro="" textlink="">
      <xdr:nvSpPr>
        <xdr:cNvPr id="15" name="TextBox 14">
          <a:extLst>
            <a:ext uri="{FF2B5EF4-FFF2-40B4-BE49-F238E27FC236}">
              <a16:creationId xmlns:a16="http://schemas.microsoft.com/office/drawing/2014/main" id="{E03260F8-D88C-4B3E-94A4-0C695AD78883}"/>
            </a:ext>
          </a:extLst>
        </xdr:cNvPr>
        <xdr:cNvSpPr txBox="1"/>
      </xdr:nvSpPr>
      <xdr:spPr>
        <a:xfrm>
          <a:off x="9379857" y="511628"/>
          <a:ext cx="1666725" cy="250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a:t>
          </a:r>
          <a:r>
            <a:rPr lang="en-IN" sz="1200" b="1" baseline="0"/>
            <a:t> Expenditure</a:t>
          </a:r>
          <a:endParaRPr lang="en-IN" sz="1200" b="1"/>
        </a:p>
      </xdr:txBody>
    </xdr:sp>
    <xdr:clientData/>
  </xdr:twoCellAnchor>
  <xdr:twoCellAnchor>
    <xdr:from>
      <xdr:col>16</xdr:col>
      <xdr:colOff>46205</xdr:colOff>
      <xdr:row>3</xdr:row>
      <xdr:rowOff>86965</xdr:rowOff>
    </xdr:from>
    <xdr:to>
      <xdr:col>17</xdr:col>
      <xdr:colOff>336490</xdr:colOff>
      <xdr:row>4</xdr:row>
      <xdr:rowOff>152400</xdr:rowOff>
    </xdr:to>
    <xdr:sp macro="" textlink="Pivots!E4">
      <xdr:nvSpPr>
        <xdr:cNvPr id="16" name="TextBox 15">
          <a:extLst>
            <a:ext uri="{FF2B5EF4-FFF2-40B4-BE49-F238E27FC236}">
              <a16:creationId xmlns:a16="http://schemas.microsoft.com/office/drawing/2014/main" id="{664F8411-4C7B-40B8-82FA-3DF6D8AF4718}"/>
            </a:ext>
          </a:extLst>
        </xdr:cNvPr>
        <xdr:cNvSpPr txBox="1"/>
      </xdr:nvSpPr>
      <xdr:spPr>
        <a:xfrm>
          <a:off x="9799805" y="711805"/>
          <a:ext cx="899885" cy="248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898CEF-4FC2-49BD-B904-0BA78CECFFEE}" type="TxLink">
            <a:rPr lang="en-US" sz="1200" b="1" i="0" u="none" strike="noStrike">
              <a:solidFill>
                <a:srgbClr val="000000"/>
              </a:solidFill>
              <a:latin typeface="Calibri"/>
              <a:ea typeface="Calibri"/>
              <a:cs typeface="Calibri"/>
            </a:rPr>
            <a:pPr marL="0" indent="0"/>
            <a:t>36,704</a:t>
          </a:fld>
          <a:endParaRPr lang="en-IN" sz="1200" b="1" i="0" u="none" strike="noStrike">
            <a:solidFill>
              <a:srgbClr val="000000"/>
            </a:solidFill>
            <a:latin typeface="Calibri"/>
            <a:ea typeface="Calibri"/>
            <a:cs typeface="Calibri"/>
          </a:endParaRPr>
        </a:p>
      </xdr:txBody>
    </xdr:sp>
    <xdr:clientData/>
  </xdr:twoCellAnchor>
  <xdr:twoCellAnchor editAs="oneCell">
    <xdr:from>
      <xdr:col>18</xdr:col>
      <xdr:colOff>28455</xdr:colOff>
      <xdr:row>2</xdr:row>
      <xdr:rowOff>77060</xdr:rowOff>
    </xdr:from>
    <xdr:to>
      <xdr:col>19</xdr:col>
      <xdr:colOff>659049</xdr:colOff>
      <xdr:row>13</xdr:row>
      <xdr:rowOff>30480</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97D39DD8-8800-4B80-A35D-61F2ECCAA6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001255" y="519020"/>
              <a:ext cx="1240193" cy="196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15850</xdr:colOff>
      <xdr:row>13</xdr:row>
      <xdr:rowOff>91440</xdr:rowOff>
    </xdr:from>
    <xdr:to>
      <xdr:col>19</xdr:col>
      <xdr:colOff>658175</xdr:colOff>
      <xdr:row>25</xdr:row>
      <xdr:rowOff>121920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B95038E6-8F19-44B2-91A0-BFDD874530F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88650" y="2545080"/>
              <a:ext cx="1251924"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248915</xdr:colOff>
      <xdr:row>5</xdr:row>
      <xdr:rowOff>54464</xdr:rowOff>
    </xdr:from>
    <xdr:to>
      <xdr:col>10</xdr:col>
      <xdr:colOff>493486</xdr:colOff>
      <xdr:row>15</xdr:row>
      <xdr:rowOff>32657</xdr:rowOff>
    </xdr:to>
    <xdr:graphicFrame macro="">
      <xdr:nvGraphicFramePr>
        <xdr:cNvPr id="19" name="Chart 18">
          <a:extLst>
            <a:ext uri="{FF2B5EF4-FFF2-40B4-BE49-F238E27FC236}">
              <a16:creationId xmlns:a16="http://schemas.microsoft.com/office/drawing/2014/main" id="{70BB2555-26E9-451E-AD85-17CF94953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57470</xdr:colOff>
      <xdr:row>13</xdr:row>
      <xdr:rowOff>118429</xdr:rowOff>
    </xdr:from>
    <xdr:to>
      <xdr:col>4</xdr:col>
      <xdr:colOff>183863</xdr:colOff>
      <xdr:row>25</xdr:row>
      <xdr:rowOff>111308</xdr:rowOff>
    </xdr:to>
    <xdr:graphicFrame macro="">
      <xdr:nvGraphicFramePr>
        <xdr:cNvPr id="20" name="Chart 19">
          <a:extLst>
            <a:ext uri="{FF2B5EF4-FFF2-40B4-BE49-F238E27FC236}">
              <a16:creationId xmlns:a16="http://schemas.microsoft.com/office/drawing/2014/main" id="{3325BC13-BFCD-4296-916D-B31ABA943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48000</xdr:colOff>
      <xdr:row>2</xdr:row>
      <xdr:rowOff>72000</xdr:rowOff>
    </xdr:from>
    <xdr:to>
      <xdr:col>2</xdr:col>
      <xdr:colOff>76062</xdr:colOff>
      <xdr:row>13</xdr:row>
      <xdr:rowOff>60960</xdr:rowOff>
    </xdr:to>
    <mc:AlternateContent xmlns:mc="http://schemas.openxmlformats.org/markup-compatibility/2006" xmlns:a14="http://schemas.microsoft.com/office/drawing/2010/main">
      <mc:Choice Requires="a14">
        <xdr:graphicFrame macro="">
          <xdr:nvGraphicFramePr>
            <xdr:cNvPr id="22" name="Year 1">
              <a:extLst>
                <a:ext uri="{FF2B5EF4-FFF2-40B4-BE49-F238E27FC236}">
                  <a16:creationId xmlns:a16="http://schemas.microsoft.com/office/drawing/2014/main" id="{6CB0876A-8A3D-4621-8D82-A66CEC8026B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8000" y="516001"/>
              <a:ext cx="1260000" cy="137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145680</xdr:colOff>
      <xdr:row>2</xdr:row>
      <xdr:rowOff>79621</xdr:rowOff>
    </xdr:from>
    <xdr:to>
      <xdr:col>4</xdr:col>
      <xdr:colOff>187620</xdr:colOff>
      <xdr:row>13</xdr:row>
      <xdr:rowOff>68580</xdr:rowOff>
    </xdr:to>
    <mc:AlternateContent xmlns:mc="http://schemas.openxmlformats.org/markup-compatibility/2006" xmlns:a14="http://schemas.microsoft.com/office/drawing/2010/main">
      <mc:Choice Requires="a14">
        <xdr:graphicFrame macro="">
          <xdr:nvGraphicFramePr>
            <xdr:cNvPr id="23" name="Month 1">
              <a:extLst>
                <a:ext uri="{FF2B5EF4-FFF2-40B4-BE49-F238E27FC236}">
                  <a16:creationId xmlns:a16="http://schemas.microsoft.com/office/drawing/2014/main" id="{D56A563F-A184-49BE-8A4E-F3B4805A887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64880" y="521581"/>
              <a:ext cx="1261140" cy="200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249245</xdr:colOff>
      <xdr:row>15</xdr:row>
      <xdr:rowOff>99061</xdr:rowOff>
    </xdr:from>
    <xdr:to>
      <xdr:col>10</xdr:col>
      <xdr:colOff>495300</xdr:colOff>
      <xdr:row>25</xdr:row>
      <xdr:rowOff>104119</xdr:rowOff>
    </xdr:to>
    <xdr:graphicFrame macro="">
      <xdr:nvGraphicFramePr>
        <xdr:cNvPr id="24" name="Chart 23">
          <a:extLst>
            <a:ext uri="{FF2B5EF4-FFF2-40B4-BE49-F238E27FC236}">
              <a16:creationId xmlns:a16="http://schemas.microsoft.com/office/drawing/2014/main" id="{3838F726-A17C-4660-A481-640A5C795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579120</xdr:colOff>
      <xdr:row>5</xdr:row>
      <xdr:rowOff>38100</xdr:rowOff>
    </xdr:from>
    <xdr:to>
      <xdr:col>17</xdr:col>
      <xdr:colOff>533400</xdr:colOff>
      <xdr:row>15</xdr:row>
      <xdr:rowOff>32657</xdr:rowOff>
    </xdr:to>
    <xdr:graphicFrame macro="">
      <xdr:nvGraphicFramePr>
        <xdr:cNvPr id="25" name="Chart 24">
          <a:extLst>
            <a:ext uri="{FF2B5EF4-FFF2-40B4-BE49-F238E27FC236}">
              <a16:creationId xmlns:a16="http://schemas.microsoft.com/office/drawing/2014/main" id="{3CA91928-6DD0-4DBA-8FA0-C548C2B1D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579120</xdr:colOff>
      <xdr:row>15</xdr:row>
      <xdr:rowOff>101600</xdr:rowOff>
    </xdr:from>
    <xdr:to>
      <xdr:col>17</xdr:col>
      <xdr:colOff>548640</xdr:colOff>
      <xdr:row>25</xdr:row>
      <xdr:rowOff>106680</xdr:rowOff>
    </xdr:to>
    <xdr:graphicFrame macro="">
      <xdr:nvGraphicFramePr>
        <xdr:cNvPr id="21" name="Chart 20">
          <a:extLst>
            <a:ext uri="{FF2B5EF4-FFF2-40B4-BE49-F238E27FC236}">
              <a16:creationId xmlns:a16="http://schemas.microsoft.com/office/drawing/2014/main" id="{50E2208D-DB44-4A66-8D20-DEB5F6F9B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WAR REDDY" refreshedDate="46161.80377835648" createdVersion="8" refreshedVersion="8" minRefreshableVersion="3" recordCount="690" xr:uid="{F170DC80-D282-49D1-93F7-7727A9B152DA}">
  <cacheSource type="worksheet">
    <worksheetSource name="Transformed_Data\"/>
  </cacheSource>
  <cacheFields count="10">
    <cacheField name="Date" numFmtId="14">
      <sharedItems containsSemiMixedTypes="0" containsNonDate="0" containsDate="1" containsString="0" minDate="2020-01-01T00:00:00" maxDate="2025-09-02T00:00:00"/>
    </cacheField>
    <cacheField name="Year" numFmtId="0">
      <sharedItems containsSemiMixedTypes="0" containsString="0" containsNumber="1" containsInteger="1" minValue="2020" maxValue="2025" count="6">
        <n v="2020"/>
        <n v="2021"/>
        <n v="2022"/>
        <n v="2023"/>
        <n v="2024"/>
        <n v="2025"/>
      </sharedItems>
    </cacheField>
    <cacheField name="Month" numFmtId="0">
      <sharedItems count="12">
        <s v="Jan"/>
        <s v="Feb"/>
        <s v="Mar"/>
        <s v="Apr"/>
        <s v="May"/>
        <s v="Jun"/>
        <s v="Jul"/>
        <s v="Aug"/>
        <s v="Sep"/>
        <s v="Oct"/>
        <s v="Nov"/>
        <s v="Dec"/>
      </sharedItems>
    </cacheField>
    <cacheField name="Savings " numFmtId="0">
      <sharedItems containsSemiMixedTypes="0" containsString="0" containsNumber="1" containsInteger="1" minValue="3625" maxValue="12074"/>
    </cacheField>
    <cacheField name="Total Expenditure " numFmtId="0">
      <sharedItems containsSemiMixedTypes="0" containsString="0" containsNumber="1" containsInteger="1" minValue="28791" maxValue="49167"/>
    </cacheField>
    <cacheField name="Income " numFmtId="0">
      <sharedItems containsSemiMixedTypes="0" containsString="0" containsNumber="1" containsInteger="1" minValue="36000" maxValue="64000"/>
    </cacheField>
    <cacheField name="Surplus" numFmtId="0">
      <sharedItems containsSemiMixedTypes="0" containsString="0" containsNumber="1" containsInteger="1" minValue="1132" maxValue="24863"/>
    </cacheField>
    <cacheField name="Surplus Rate" numFmtId="0">
      <sharedItems containsSemiMixedTypes="0" containsString="0" containsNumber="1" minValue="3.1444444444444442E-2" maxValue="0.41249999999999998"/>
    </cacheField>
    <cacheField name="Category" numFmtId="0">
      <sharedItems count="10">
        <s v="Groceries "/>
        <s v="Rent "/>
        <s v="Transportation "/>
        <s v="Gym "/>
        <s v="Utilities "/>
        <s v="Healthcare "/>
        <s v="Investments "/>
        <s v="EMI/Loans "/>
        <s v="Dining &amp; Entertainment "/>
        <s v="Shopping &amp; Wants "/>
      </sharedItems>
    </cacheField>
    <cacheField name="Amount" numFmtId="0">
      <sharedItems containsSemiMixedTypes="0" containsString="0" containsNumber="1" containsInteger="1" minValue="0" maxValue="13000"/>
    </cacheField>
  </cacheFields>
  <extLst>
    <ext xmlns:x14="http://schemas.microsoft.com/office/spreadsheetml/2009/9/main" uri="{725AE2AE-9491-48be-B2B4-4EB974FC3084}">
      <x14:pivotCacheDefinition pivotCacheId="5147289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WAR REDDY" refreshedDate="46162.605497916666" createdVersion="8" refreshedVersion="8" minRefreshableVersion="3" recordCount="69" xr:uid="{134DC423-8C57-4D43-B34A-E99DDD7AF960}">
  <cacheSource type="worksheet">
    <worksheetSource name="Original_Data"/>
  </cacheSource>
  <cacheFields count="18">
    <cacheField name="Date" numFmtId="14">
      <sharedItems containsSemiMixedTypes="0" containsNonDate="0" containsDate="1" containsString="0" minDate="2020-01-01T00:00:00" maxDate="2025-09-02T00:00:00"/>
    </cacheField>
    <cacheField name="Year" numFmtId="0">
      <sharedItems containsSemiMixedTypes="0" containsString="0" containsNumber="1" containsInteger="1" minValue="2020" maxValue="2025" count="6">
        <n v="2020"/>
        <n v="2021"/>
        <n v="2022"/>
        <n v="2023"/>
        <n v="2024"/>
        <n v="2025"/>
      </sharedItems>
    </cacheField>
    <cacheField name="Month" numFmtId="0">
      <sharedItems count="12">
        <s v="Jan"/>
        <s v="Feb"/>
        <s v="Mar"/>
        <s v="Apr"/>
        <s v="May"/>
        <s v="Jun"/>
        <s v="Jul"/>
        <s v="Aug"/>
        <s v="Sep"/>
        <s v="Oct"/>
        <s v="Nov"/>
        <s v="Dec"/>
      </sharedItems>
    </cacheField>
    <cacheField name="Groceries " numFmtId="3">
      <sharedItems containsSemiMixedTypes="0" containsString="0" containsNumber="1" containsInteger="1" minValue="4154" maxValue="8983"/>
    </cacheField>
    <cacheField name="Rent " numFmtId="3">
      <sharedItems containsSemiMixedTypes="0" containsString="0" containsNumber="1" containsInteger="1" minValue="10000" maxValue="13000"/>
    </cacheField>
    <cacheField name="Transportation " numFmtId="3">
      <sharedItems containsSemiMixedTypes="0" containsString="0" containsNumber="1" containsInteger="1" minValue="1501" maxValue="3482"/>
    </cacheField>
    <cacheField name="Gym " numFmtId="3">
      <sharedItems containsSemiMixedTypes="0" containsString="0" containsNumber="1" containsInteger="1" minValue="700" maxValue="1196"/>
    </cacheField>
    <cacheField name="Utilities " numFmtId="3">
      <sharedItems containsSemiMixedTypes="0" containsString="0" containsNumber="1" containsInteger="1" minValue="1514" maxValue="2471"/>
    </cacheField>
    <cacheField name="Healthcare " numFmtId="3">
      <sharedItems containsSemiMixedTypes="0" containsString="0" containsNumber="1" containsInteger="1" minValue="837" maxValue="2958"/>
    </cacheField>
    <cacheField name="Investments " numFmtId="3">
      <sharedItems containsSemiMixedTypes="0" containsString="0" containsNumber="1" containsInteger="1" minValue="3952" maxValue="9496"/>
    </cacheField>
    <cacheField name="EMI/Loans " numFmtId="3">
      <sharedItems containsSemiMixedTypes="0" containsString="0" containsNumber="1" containsInteger="1" minValue="0" maxValue="6000"/>
    </cacheField>
    <cacheField name="Dining &amp; Entertainment " numFmtId="3">
      <sharedItems containsSemiMixedTypes="0" containsString="0" containsNumber="1" containsInteger="1" minValue="1501" maxValue="3991"/>
    </cacheField>
    <cacheField name="Shopping &amp; Wants " numFmtId="3">
      <sharedItems containsSemiMixedTypes="0" containsString="0" containsNumber="1" containsInteger="1" minValue="1020" maxValue="2981"/>
    </cacheField>
    <cacheField name="Savings " numFmtId="3">
      <sharedItems containsSemiMixedTypes="0" containsString="0" containsNumber="1" containsInteger="1" minValue="3625" maxValue="12074"/>
    </cacheField>
    <cacheField name="Total Expenditure " numFmtId="3">
      <sharedItems containsSemiMixedTypes="0" containsString="0" containsNumber="1" containsInteger="1" minValue="28791" maxValue="49167"/>
    </cacheField>
    <cacheField name="Income " numFmtId="3">
      <sharedItems containsSemiMixedTypes="0" containsString="0" containsNumber="1" containsInteger="1" minValue="36000" maxValue="64000"/>
    </cacheField>
    <cacheField name="Surplus" numFmtId="3">
      <sharedItems containsSemiMixedTypes="0" containsString="0" containsNumber="1" containsInteger="1" minValue="1132" maxValue="24863"/>
    </cacheField>
    <cacheField name="Surplus Rate" numFmtId="9">
      <sharedItems containsSemiMixedTypes="0" containsString="0" containsNumber="1" minValue="3.1444444444444442E-2" maxValue="0.41249999999999998"/>
    </cacheField>
  </cacheFields>
  <extLst>
    <ext xmlns:x14="http://schemas.microsoft.com/office/spreadsheetml/2009/9/main" uri="{725AE2AE-9491-48be-B2B4-4EB974FC3084}">
      <x14:pivotCacheDefinition pivotCacheId="1084706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d v="2020-01-01T00:00:00"/>
    <x v="0"/>
    <x v="0"/>
    <n v="4232"/>
    <n v="30363"/>
    <n v="40000"/>
    <n v="9637"/>
    <n v="0.240925"/>
    <x v="0"/>
    <n v="4860"/>
  </r>
  <r>
    <d v="2020-01-01T00:00:00"/>
    <x v="0"/>
    <x v="0"/>
    <n v="4232"/>
    <n v="30363"/>
    <n v="40000"/>
    <n v="9637"/>
    <n v="0.240925"/>
    <x v="1"/>
    <n v="10000"/>
  </r>
  <r>
    <d v="2020-01-01T00:00:00"/>
    <x v="0"/>
    <x v="0"/>
    <n v="4232"/>
    <n v="30363"/>
    <n v="40000"/>
    <n v="9637"/>
    <n v="0.240925"/>
    <x v="2"/>
    <n v="2595"/>
  </r>
  <r>
    <d v="2020-01-01T00:00:00"/>
    <x v="0"/>
    <x v="0"/>
    <n v="4232"/>
    <n v="30363"/>
    <n v="40000"/>
    <n v="9637"/>
    <n v="0.240925"/>
    <x v="3"/>
    <n v="888"/>
  </r>
  <r>
    <d v="2020-01-01T00:00:00"/>
    <x v="0"/>
    <x v="0"/>
    <n v="4232"/>
    <n v="30363"/>
    <n v="40000"/>
    <n v="9637"/>
    <n v="0.240925"/>
    <x v="4"/>
    <n v="1520"/>
  </r>
  <r>
    <d v="2020-01-01T00:00:00"/>
    <x v="0"/>
    <x v="0"/>
    <n v="4232"/>
    <n v="30363"/>
    <n v="40000"/>
    <n v="9637"/>
    <n v="0.240925"/>
    <x v="5"/>
    <n v="1930"/>
  </r>
  <r>
    <d v="2020-01-01T00:00:00"/>
    <x v="0"/>
    <x v="0"/>
    <n v="4232"/>
    <n v="30363"/>
    <n v="40000"/>
    <n v="9637"/>
    <n v="0.240925"/>
    <x v="6"/>
    <n v="4311"/>
  </r>
  <r>
    <d v="2020-01-01T00:00:00"/>
    <x v="0"/>
    <x v="0"/>
    <n v="4232"/>
    <n v="30363"/>
    <n v="40000"/>
    <n v="9637"/>
    <n v="0.240925"/>
    <x v="7"/>
    <n v="0"/>
  </r>
  <r>
    <d v="2020-01-01T00:00:00"/>
    <x v="0"/>
    <x v="0"/>
    <n v="4232"/>
    <n v="30363"/>
    <n v="40000"/>
    <n v="9637"/>
    <n v="0.240925"/>
    <x v="8"/>
    <n v="3138"/>
  </r>
  <r>
    <d v="2020-01-01T00:00:00"/>
    <x v="0"/>
    <x v="0"/>
    <n v="4232"/>
    <n v="30363"/>
    <n v="40000"/>
    <n v="9637"/>
    <n v="0.240925"/>
    <x v="9"/>
    <n v="1121"/>
  </r>
  <r>
    <d v="2020-02-01T00:00:00"/>
    <x v="0"/>
    <x v="1"/>
    <n v="7329"/>
    <n v="34366"/>
    <n v="40000"/>
    <n v="5634"/>
    <n v="0.14085"/>
    <x v="0"/>
    <n v="6135"/>
  </r>
  <r>
    <d v="2020-02-01T00:00:00"/>
    <x v="0"/>
    <x v="1"/>
    <n v="7329"/>
    <n v="34366"/>
    <n v="40000"/>
    <n v="5634"/>
    <n v="0.14085"/>
    <x v="1"/>
    <n v="10000"/>
  </r>
  <r>
    <d v="2020-02-01T00:00:00"/>
    <x v="0"/>
    <x v="1"/>
    <n v="7329"/>
    <n v="34366"/>
    <n v="40000"/>
    <n v="5634"/>
    <n v="0.14085"/>
    <x v="2"/>
    <n v="2371"/>
  </r>
  <r>
    <d v="2020-02-01T00:00:00"/>
    <x v="0"/>
    <x v="1"/>
    <n v="7329"/>
    <n v="34366"/>
    <n v="40000"/>
    <n v="5634"/>
    <n v="0.14085"/>
    <x v="3"/>
    <n v="851"/>
  </r>
  <r>
    <d v="2020-02-01T00:00:00"/>
    <x v="0"/>
    <x v="1"/>
    <n v="7329"/>
    <n v="34366"/>
    <n v="40000"/>
    <n v="5634"/>
    <n v="0.14085"/>
    <x v="4"/>
    <n v="1630"/>
  </r>
  <r>
    <d v="2020-02-01T00:00:00"/>
    <x v="0"/>
    <x v="1"/>
    <n v="7329"/>
    <n v="34366"/>
    <n v="40000"/>
    <n v="5634"/>
    <n v="0.14085"/>
    <x v="5"/>
    <n v="1923"/>
  </r>
  <r>
    <d v="2020-02-01T00:00:00"/>
    <x v="0"/>
    <x v="1"/>
    <n v="7329"/>
    <n v="34366"/>
    <n v="40000"/>
    <n v="5634"/>
    <n v="0.14085"/>
    <x v="6"/>
    <n v="5939"/>
  </r>
  <r>
    <d v="2020-02-01T00:00:00"/>
    <x v="0"/>
    <x v="1"/>
    <n v="7329"/>
    <n v="34366"/>
    <n v="40000"/>
    <n v="5634"/>
    <n v="0.14085"/>
    <x v="7"/>
    <n v="0"/>
  </r>
  <r>
    <d v="2020-02-01T00:00:00"/>
    <x v="0"/>
    <x v="1"/>
    <n v="7329"/>
    <n v="34366"/>
    <n v="40000"/>
    <n v="5634"/>
    <n v="0.14085"/>
    <x v="8"/>
    <n v="3185"/>
  </r>
  <r>
    <d v="2020-02-01T00:00:00"/>
    <x v="0"/>
    <x v="1"/>
    <n v="7329"/>
    <n v="34366"/>
    <n v="40000"/>
    <n v="5634"/>
    <n v="0.14085"/>
    <x v="9"/>
    <n v="2332"/>
  </r>
  <r>
    <d v="2020-03-01T00:00:00"/>
    <x v="0"/>
    <x v="2"/>
    <n v="3625"/>
    <n v="32515"/>
    <n v="36000"/>
    <n v="3485"/>
    <n v="9.6805555555555561E-2"/>
    <x v="0"/>
    <n v="6853"/>
  </r>
  <r>
    <d v="2020-03-01T00:00:00"/>
    <x v="0"/>
    <x v="2"/>
    <n v="3625"/>
    <n v="32515"/>
    <n v="36000"/>
    <n v="3485"/>
    <n v="9.6805555555555561E-2"/>
    <x v="1"/>
    <n v="10000"/>
  </r>
  <r>
    <d v="2020-03-01T00:00:00"/>
    <x v="0"/>
    <x v="2"/>
    <n v="3625"/>
    <n v="32515"/>
    <n v="36000"/>
    <n v="3485"/>
    <n v="9.6805555555555561E-2"/>
    <x v="2"/>
    <n v="2715"/>
  </r>
  <r>
    <d v="2020-03-01T00:00:00"/>
    <x v="0"/>
    <x v="2"/>
    <n v="3625"/>
    <n v="32515"/>
    <n v="36000"/>
    <n v="3485"/>
    <n v="9.6805555555555561E-2"/>
    <x v="3"/>
    <n v="1143"/>
  </r>
  <r>
    <d v="2020-03-01T00:00:00"/>
    <x v="0"/>
    <x v="2"/>
    <n v="3625"/>
    <n v="32515"/>
    <n v="36000"/>
    <n v="3485"/>
    <n v="9.6805555555555561E-2"/>
    <x v="4"/>
    <n v="1776"/>
  </r>
  <r>
    <d v="2020-03-01T00:00:00"/>
    <x v="0"/>
    <x v="2"/>
    <n v="3625"/>
    <n v="32515"/>
    <n v="36000"/>
    <n v="3485"/>
    <n v="9.6805555555555561E-2"/>
    <x v="5"/>
    <n v="1185"/>
  </r>
  <r>
    <d v="2020-03-01T00:00:00"/>
    <x v="0"/>
    <x v="2"/>
    <n v="3625"/>
    <n v="32515"/>
    <n v="36000"/>
    <n v="3485"/>
    <n v="9.6805555555555561E-2"/>
    <x v="6"/>
    <n v="4700"/>
  </r>
  <r>
    <d v="2020-03-01T00:00:00"/>
    <x v="0"/>
    <x v="2"/>
    <n v="3625"/>
    <n v="32515"/>
    <n v="36000"/>
    <n v="3485"/>
    <n v="9.6805555555555561E-2"/>
    <x v="7"/>
    <n v="0"/>
  </r>
  <r>
    <d v="2020-03-01T00:00:00"/>
    <x v="0"/>
    <x v="2"/>
    <n v="3625"/>
    <n v="32515"/>
    <n v="36000"/>
    <n v="3485"/>
    <n v="9.6805555555555561E-2"/>
    <x v="8"/>
    <n v="2684"/>
  </r>
  <r>
    <d v="2020-03-01T00:00:00"/>
    <x v="0"/>
    <x v="2"/>
    <n v="3625"/>
    <n v="32515"/>
    <n v="36000"/>
    <n v="3485"/>
    <n v="9.6805555555555561E-2"/>
    <x v="9"/>
    <n v="1459"/>
  </r>
  <r>
    <d v="2020-04-01T00:00:00"/>
    <x v="0"/>
    <x v="3"/>
    <n v="6426"/>
    <n v="33305"/>
    <n v="36000"/>
    <n v="2695"/>
    <n v="7.4861111111111114E-2"/>
    <x v="0"/>
    <n v="6904"/>
  </r>
  <r>
    <d v="2020-04-01T00:00:00"/>
    <x v="0"/>
    <x v="3"/>
    <n v="6426"/>
    <n v="33305"/>
    <n v="36000"/>
    <n v="2695"/>
    <n v="7.4861111111111114E-2"/>
    <x v="1"/>
    <n v="10000"/>
  </r>
  <r>
    <d v="2020-04-01T00:00:00"/>
    <x v="0"/>
    <x v="3"/>
    <n v="6426"/>
    <n v="33305"/>
    <n v="36000"/>
    <n v="2695"/>
    <n v="7.4861111111111114E-2"/>
    <x v="2"/>
    <n v="2582"/>
  </r>
  <r>
    <d v="2020-04-01T00:00:00"/>
    <x v="0"/>
    <x v="3"/>
    <n v="6426"/>
    <n v="33305"/>
    <n v="36000"/>
    <n v="2695"/>
    <n v="7.4861111111111114E-2"/>
    <x v="3"/>
    <n v="869"/>
  </r>
  <r>
    <d v="2020-04-01T00:00:00"/>
    <x v="0"/>
    <x v="3"/>
    <n v="6426"/>
    <n v="33305"/>
    <n v="36000"/>
    <n v="2695"/>
    <n v="7.4861111111111114E-2"/>
    <x v="4"/>
    <n v="1975"/>
  </r>
  <r>
    <d v="2020-04-01T00:00:00"/>
    <x v="0"/>
    <x v="3"/>
    <n v="6426"/>
    <n v="33305"/>
    <n v="36000"/>
    <n v="2695"/>
    <n v="7.4861111111111114E-2"/>
    <x v="5"/>
    <n v="1274"/>
  </r>
  <r>
    <d v="2020-04-01T00:00:00"/>
    <x v="0"/>
    <x v="3"/>
    <n v="6426"/>
    <n v="33305"/>
    <n v="36000"/>
    <n v="2695"/>
    <n v="7.4861111111111114E-2"/>
    <x v="6"/>
    <n v="4420"/>
  </r>
  <r>
    <d v="2020-04-01T00:00:00"/>
    <x v="0"/>
    <x v="3"/>
    <n v="6426"/>
    <n v="33305"/>
    <n v="36000"/>
    <n v="2695"/>
    <n v="7.4861111111111114E-2"/>
    <x v="7"/>
    <n v="0"/>
  </r>
  <r>
    <d v="2020-04-01T00:00:00"/>
    <x v="0"/>
    <x v="3"/>
    <n v="6426"/>
    <n v="33305"/>
    <n v="36000"/>
    <n v="2695"/>
    <n v="7.4861111111111114E-2"/>
    <x v="8"/>
    <n v="2475"/>
  </r>
  <r>
    <d v="2020-04-01T00:00:00"/>
    <x v="0"/>
    <x v="3"/>
    <n v="6426"/>
    <n v="33305"/>
    <n v="36000"/>
    <n v="2695"/>
    <n v="7.4861111111111114E-2"/>
    <x v="9"/>
    <n v="2806"/>
  </r>
  <r>
    <d v="2020-05-01T00:00:00"/>
    <x v="0"/>
    <x v="4"/>
    <n v="3647"/>
    <n v="29611"/>
    <n v="36000"/>
    <n v="6389"/>
    <n v="0.17747222222222223"/>
    <x v="0"/>
    <n v="4562"/>
  </r>
  <r>
    <d v="2020-05-01T00:00:00"/>
    <x v="0"/>
    <x v="4"/>
    <n v="3647"/>
    <n v="29611"/>
    <n v="36000"/>
    <n v="6389"/>
    <n v="0.17747222222222223"/>
    <x v="1"/>
    <n v="10000"/>
  </r>
  <r>
    <d v="2020-05-01T00:00:00"/>
    <x v="0"/>
    <x v="4"/>
    <n v="3647"/>
    <n v="29611"/>
    <n v="36000"/>
    <n v="6389"/>
    <n v="0.17747222222222223"/>
    <x v="2"/>
    <n v="3028"/>
  </r>
  <r>
    <d v="2020-05-01T00:00:00"/>
    <x v="0"/>
    <x v="4"/>
    <n v="3647"/>
    <n v="29611"/>
    <n v="36000"/>
    <n v="6389"/>
    <n v="0.17747222222222223"/>
    <x v="3"/>
    <n v="830"/>
  </r>
  <r>
    <d v="2020-05-01T00:00:00"/>
    <x v="0"/>
    <x v="4"/>
    <n v="3647"/>
    <n v="29611"/>
    <n v="36000"/>
    <n v="6389"/>
    <n v="0.17747222222222223"/>
    <x v="4"/>
    <n v="1984"/>
  </r>
  <r>
    <d v="2020-05-01T00:00:00"/>
    <x v="0"/>
    <x v="4"/>
    <n v="3647"/>
    <n v="29611"/>
    <n v="36000"/>
    <n v="6389"/>
    <n v="0.17747222222222223"/>
    <x v="5"/>
    <n v="1631"/>
  </r>
  <r>
    <d v="2020-05-01T00:00:00"/>
    <x v="0"/>
    <x v="4"/>
    <n v="3647"/>
    <n v="29611"/>
    <n v="36000"/>
    <n v="6389"/>
    <n v="0.17747222222222223"/>
    <x v="6"/>
    <n v="4410"/>
  </r>
  <r>
    <d v="2020-05-01T00:00:00"/>
    <x v="0"/>
    <x v="4"/>
    <n v="3647"/>
    <n v="29611"/>
    <n v="36000"/>
    <n v="6389"/>
    <n v="0.17747222222222223"/>
    <x v="7"/>
    <n v="0"/>
  </r>
  <r>
    <d v="2020-05-01T00:00:00"/>
    <x v="0"/>
    <x v="4"/>
    <n v="3647"/>
    <n v="29611"/>
    <n v="36000"/>
    <n v="6389"/>
    <n v="0.17747222222222223"/>
    <x v="8"/>
    <n v="2146"/>
  </r>
  <r>
    <d v="2020-05-01T00:00:00"/>
    <x v="0"/>
    <x v="4"/>
    <n v="3647"/>
    <n v="29611"/>
    <n v="36000"/>
    <n v="6389"/>
    <n v="0.17747222222222223"/>
    <x v="9"/>
    <n v="1020"/>
  </r>
  <r>
    <d v="2020-06-01T00:00:00"/>
    <x v="0"/>
    <x v="5"/>
    <n v="4039"/>
    <n v="28791"/>
    <n v="36000"/>
    <n v="7209"/>
    <n v="0.20025000000000001"/>
    <x v="0"/>
    <n v="4600"/>
  </r>
  <r>
    <d v="2020-06-01T00:00:00"/>
    <x v="0"/>
    <x v="5"/>
    <n v="4039"/>
    <n v="28791"/>
    <n v="36000"/>
    <n v="7209"/>
    <n v="0.20025000000000001"/>
    <x v="1"/>
    <n v="10000"/>
  </r>
  <r>
    <d v="2020-06-01T00:00:00"/>
    <x v="0"/>
    <x v="5"/>
    <n v="4039"/>
    <n v="28791"/>
    <n v="36000"/>
    <n v="7209"/>
    <n v="0.20025000000000001"/>
    <x v="2"/>
    <n v="1513"/>
  </r>
  <r>
    <d v="2020-06-01T00:00:00"/>
    <x v="0"/>
    <x v="5"/>
    <n v="4039"/>
    <n v="28791"/>
    <n v="36000"/>
    <n v="7209"/>
    <n v="0.20025000000000001"/>
    <x v="3"/>
    <n v="941"/>
  </r>
  <r>
    <d v="2020-06-01T00:00:00"/>
    <x v="0"/>
    <x v="5"/>
    <n v="4039"/>
    <n v="28791"/>
    <n v="36000"/>
    <n v="7209"/>
    <n v="0.20025000000000001"/>
    <x v="4"/>
    <n v="2276"/>
  </r>
  <r>
    <d v="2020-06-01T00:00:00"/>
    <x v="0"/>
    <x v="5"/>
    <n v="4039"/>
    <n v="28791"/>
    <n v="36000"/>
    <n v="7209"/>
    <n v="0.20025000000000001"/>
    <x v="5"/>
    <n v="1115"/>
  </r>
  <r>
    <d v="2020-06-01T00:00:00"/>
    <x v="0"/>
    <x v="5"/>
    <n v="4039"/>
    <n v="28791"/>
    <n v="36000"/>
    <n v="7209"/>
    <n v="0.20025000000000001"/>
    <x v="6"/>
    <n v="4392"/>
  </r>
  <r>
    <d v="2020-06-01T00:00:00"/>
    <x v="0"/>
    <x v="5"/>
    <n v="4039"/>
    <n v="28791"/>
    <n v="36000"/>
    <n v="7209"/>
    <n v="0.20025000000000001"/>
    <x v="7"/>
    <n v="0"/>
  </r>
  <r>
    <d v="2020-06-01T00:00:00"/>
    <x v="0"/>
    <x v="5"/>
    <n v="4039"/>
    <n v="28791"/>
    <n v="36000"/>
    <n v="7209"/>
    <n v="0.20025000000000001"/>
    <x v="8"/>
    <n v="2863"/>
  </r>
  <r>
    <d v="2020-06-01T00:00:00"/>
    <x v="0"/>
    <x v="5"/>
    <n v="4039"/>
    <n v="28791"/>
    <n v="36000"/>
    <n v="7209"/>
    <n v="0.20025000000000001"/>
    <x v="9"/>
    <n v="1091"/>
  </r>
  <r>
    <d v="2020-07-01T00:00:00"/>
    <x v="0"/>
    <x v="6"/>
    <n v="4722"/>
    <n v="34868"/>
    <n v="36000"/>
    <n v="1132"/>
    <n v="3.1444444444444442E-2"/>
    <x v="0"/>
    <n v="6556"/>
  </r>
  <r>
    <d v="2020-07-01T00:00:00"/>
    <x v="0"/>
    <x v="6"/>
    <n v="4722"/>
    <n v="34868"/>
    <n v="36000"/>
    <n v="1132"/>
    <n v="3.1444444444444442E-2"/>
    <x v="1"/>
    <n v="10000"/>
  </r>
  <r>
    <d v="2020-07-01T00:00:00"/>
    <x v="0"/>
    <x v="6"/>
    <n v="4722"/>
    <n v="34868"/>
    <n v="36000"/>
    <n v="1132"/>
    <n v="3.1444444444444442E-2"/>
    <x v="2"/>
    <n v="3466"/>
  </r>
  <r>
    <d v="2020-07-01T00:00:00"/>
    <x v="0"/>
    <x v="6"/>
    <n v="4722"/>
    <n v="34868"/>
    <n v="36000"/>
    <n v="1132"/>
    <n v="3.1444444444444442E-2"/>
    <x v="3"/>
    <n v="734"/>
  </r>
  <r>
    <d v="2020-07-01T00:00:00"/>
    <x v="0"/>
    <x v="6"/>
    <n v="4722"/>
    <n v="34868"/>
    <n v="36000"/>
    <n v="1132"/>
    <n v="3.1444444444444442E-2"/>
    <x v="4"/>
    <n v="1705"/>
  </r>
  <r>
    <d v="2020-07-01T00:00:00"/>
    <x v="0"/>
    <x v="6"/>
    <n v="4722"/>
    <n v="34868"/>
    <n v="36000"/>
    <n v="1132"/>
    <n v="3.1444444444444442E-2"/>
    <x v="5"/>
    <n v="1575"/>
  </r>
  <r>
    <d v="2020-07-01T00:00:00"/>
    <x v="0"/>
    <x v="6"/>
    <n v="4722"/>
    <n v="34868"/>
    <n v="36000"/>
    <n v="1132"/>
    <n v="3.1444444444444442E-2"/>
    <x v="6"/>
    <n v="4792"/>
  </r>
  <r>
    <d v="2020-07-01T00:00:00"/>
    <x v="0"/>
    <x v="6"/>
    <n v="4722"/>
    <n v="34868"/>
    <n v="36000"/>
    <n v="1132"/>
    <n v="3.1444444444444442E-2"/>
    <x v="7"/>
    <n v="0"/>
  </r>
  <r>
    <d v="2020-07-01T00:00:00"/>
    <x v="0"/>
    <x v="6"/>
    <n v="4722"/>
    <n v="34868"/>
    <n v="36000"/>
    <n v="1132"/>
    <n v="3.1444444444444442E-2"/>
    <x v="8"/>
    <n v="3455"/>
  </r>
  <r>
    <d v="2020-07-01T00:00:00"/>
    <x v="0"/>
    <x v="6"/>
    <n v="4722"/>
    <n v="34868"/>
    <n v="36000"/>
    <n v="1132"/>
    <n v="3.1444444444444442E-2"/>
    <x v="9"/>
    <n v="2585"/>
  </r>
  <r>
    <d v="2020-08-01T00:00:00"/>
    <x v="0"/>
    <x v="7"/>
    <n v="6982"/>
    <n v="33420"/>
    <n v="36000"/>
    <n v="2580"/>
    <n v="7.166666666666667E-2"/>
    <x v="0"/>
    <n v="6613"/>
  </r>
  <r>
    <d v="2020-08-01T00:00:00"/>
    <x v="0"/>
    <x v="7"/>
    <n v="6982"/>
    <n v="33420"/>
    <n v="36000"/>
    <n v="2580"/>
    <n v="7.166666666666667E-2"/>
    <x v="1"/>
    <n v="10000"/>
  </r>
  <r>
    <d v="2020-08-01T00:00:00"/>
    <x v="0"/>
    <x v="7"/>
    <n v="6982"/>
    <n v="33420"/>
    <n v="36000"/>
    <n v="2580"/>
    <n v="7.166666666666667E-2"/>
    <x v="2"/>
    <n v="3295"/>
  </r>
  <r>
    <d v="2020-08-01T00:00:00"/>
    <x v="0"/>
    <x v="7"/>
    <n v="6982"/>
    <n v="33420"/>
    <n v="36000"/>
    <n v="2580"/>
    <n v="7.166666666666667E-2"/>
    <x v="3"/>
    <n v="1009"/>
  </r>
  <r>
    <d v="2020-08-01T00:00:00"/>
    <x v="0"/>
    <x v="7"/>
    <n v="6982"/>
    <n v="33420"/>
    <n v="36000"/>
    <n v="2580"/>
    <n v="7.166666666666667E-2"/>
    <x v="4"/>
    <n v="1976"/>
  </r>
  <r>
    <d v="2020-08-01T00:00:00"/>
    <x v="0"/>
    <x v="7"/>
    <n v="6982"/>
    <n v="33420"/>
    <n v="36000"/>
    <n v="2580"/>
    <n v="7.166666666666667E-2"/>
    <x v="5"/>
    <n v="1929"/>
  </r>
  <r>
    <d v="2020-08-01T00:00:00"/>
    <x v="0"/>
    <x v="7"/>
    <n v="6982"/>
    <n v="33420"/>
    <n v="36000"/>
    <n v="2580"/>
    <n v="7.166666666666667E-2"/>
    <x v="6"/>
    <n v="4995"/>
  </r>
  <r>
    <d v="2020-08-01T00:00:00"/>
    <x v="0"/>
    <x v="7"/>
    <n v="6982"/>
    <n v="33420"/>
    <n v="36000"/>
    <n v="2580"/>
    <n v="7.166666666666667E-2"/>
    <x v="7"/>
    <n v="0"/>
  </r>
  <r>
    <d v="2020-08-01T00:00:00"/>
    <x v="0"/>
    <x v="7"/>
    <n v="6982"/>
    <n v="33420"/>
    <n v="36000"/>
    <n v="2580"/>
    <n v="7.166666666666667E-2"/>
    <x v="8"/>
    <n v="2202"/>
  </r>
  <r>
    <d v="2020-08-01T00:00:00"/>
    <x v="0"/>
    <x v="7"/>
    <n v="6982"/>
    <n v="33420"/>
    <n v="36000"/>
    <n v="2580"/>
    <n v="7.166666666666667E-2"/>
    <x v="9"/>
    <n v="1401"/>
  </r>
  <r>
    <d v="2020-09-01T00:00:00"/>
    <x v="0"/>
    <x v="8"/>
    <n v="3762"/>
    <n v="31302"/>
    <n v="36000"/>
    <n v="4698"/>
    <n v="0.1305"/>
    <x v="0"/>
    <n v="5981"/>
  </r>
  <r>
    <d v="2020-09-01T00:00:00"/>
    <x v="0"/>
    <x v="8"/>
    <n v="3762"/>
    <n v="31302"/>
    <n v="36000"/>
    <n v="4698"/>
    <n v="0.1305"/>
    <x v="1"/>
    <n v="10000"/>
  </r>
  <r>
    <d v="2020-09-01T00:00:00"/>
    <x v="0"/>
    <x v="8"/>
    <n v="3762"/>
    <n v="31302"/>
    <n v="36000"/>
    <n v="4698"/>
    <n v="0.1305"/>
    <x v="2"/>
    <n v="1769"/>
  </r>
  <r>
    <d v="2020-09-01T00:00:00"/>
    <x v="0"/>
    <x v="8"/>
    <n v="3762"/>
    <n v="31302"/>
    <n v="36000"/>
    <n v="4698"/>
    <n v="0.1305"/>
    <x v="3"/>
    <n v="1050"/>
  </r>
  <r>
    <d v="2020-09-01T00:00:00"/>
    <x v="0"/>
    <x v="8"/>
    <n v="3762"/>
    <n v="31302"/>
    <n v="36000"/>
    <n v="4698"/>
    <n v="0.1305"/>
    <x v="4"/>
    <n v="2315"/>
  </r>
  <r>
    <d v="2020-09-01T00:00:00"/>
    <x v="0"/>
    <x v="8"/>
    <n v="3762"/>
    <n v="31302"/>
    <n v="36000"/>
    <n v="4698"/>
    <n v="0.1305"/>
    <x v="5"/>
    <n v="1795"/>
  </r>
  <r>
    <d v="2020-09-01T00:00:00"/>
    <x v="0"/>
    <x v="8"/>
    <n v="3762"/>
    <n v="31302"/>
    <n v="36000"/>
    <n v="4698"/>
    <n v="0.1305"/>
    <x v="6"/>
    <n v="3952"/>
  </r>
  <r>
    <d v="2020-09-01T00:00:00"/>
    <x v="0"/>
    <x v="8"/>
    <n v="3762"/>
    <n v="31302"/>
    <n v="36000"/>
    <n v="4698"/>
    <n v="0.1305"/>
    <x v="7"/>
    <n v="0"/>
  </r>
  <r>
    <d v="2020-09-01T00:00:00"/>
    <x v="0"/>
    <x v="8"/>
    <n v="3762"/>
    <n v="31302"/>
    <n v="36000"/>
    <n v="4698"/>
    <n v="0.1305"/>
    <x v="8"/>
    <n v="1955"/>
  </r>
  <r>
    <d v="2020-09-01T00:00:00"/>
    <x v="0"/>
    <x v="8"/>
    <n v="3762"/>
    <n v="31302"/>
    <n v="36000"/>
    <n v="4698"/>
    <n v="0.1305"/>
    <x v="9"/>
    <n v="2485"/>
  </r>
  <r>
    <d v="2020-10-01T00:00:00"/>
    <x v="0"/>
    <x v="9"/>
    <n v="4611"/>
    <n v="33158"/>
    <n v="36000"/>
    <n v="2842"/>
    <n v="7.8944444444444442E-2"/>
    <x v="0"/>
    <n v="6343"/>
  </r>
  <r>
    <d v="2020-10-01T00:00:00"/>
    <x v="0"/>
    <x v="9"/>
    <n v="4611"/>
    <n v="33158"/>
    <n v="36000"/>
    <n v="2842"/>
    <n v="7.8944444444444442E-2"/>
    <x v="1"/>
    <n v="10000"/>
  </r>
  <r>
    <d v="2020-10-01T00:00:00"/>
    <x v="0"/>
    <x v="9"/>
    <n v="4611"/>
    <n v="33158"/>
    <n v="36000"/>
    <n v="2842"/>
    <n v="7.8944444444444442E-2"/>
    <x v="2"/>
    <n v="3272"/>
  </r>
  <r>
    <d v="2020-10-01T00:00:00"/>
    <x v="0"/>
    <x v="9"/>
    <n v="4611"/>
    <n v="33158"/>
    <n v="36000"/>
    <n v="2842"/>
    <n v="7.8944444444444442E-2"/>
    <x v="3"/>
    <n v="1037"/>
  </r>
  <r>
    <d v="2020-10-01T00:00:00"/>
    <x v="0"/>
    <x v="9"/>
    <n v="4611"/>
    <n v="33158"/>
    <n v="36000"/>
    <n v="2842"/>
    <n v="7.8944444444444442E-2"/>
    <x v="4"/>
    <n v="2378"/>
  </r>
  <r>
    <d v="2020-10-01T00:00:00"/>
    <x v="0"/>
    <x v="9"/>
    <n v="4611"/>
    <n v="33158"/>
    <n v="36000"/>
    <n v="2842"/>
    <n v="7.8944444444444442E-2"/>
    <x v="5"/>
    <n v="1519"/>
  </r>
  <r>
    <d v="2020-10-01T00:00:00"/>
    <x v="0"/>
    <x v="9"/>
    <n v="4611"/>
    <n v="33158"/>
    <n v="36000"/>
    <n v="2842"/>
    <n v="7.8944444444444442E-2"/>
    <x v="6"/>
    <n v="4242"/>
  </r>
  <r>
    <d v="2020-10-01T00:00:00"/>
    <x v="0"/>
    <x v="9"/>
    <n v="4611"/>
    <n v="33158"/>
    <n v="36000"/>
    <n v="2842"/>
    <n v="7.8944444444444442E-2"/>
    <x v="7"/>
    <n v="0"/>
  </r>
  <r>
    <d v="2020-10-01T00:00:00"/>
    <x v="0"/>
    <x v="9"/>
    <n v="4611"/>
    <n v="33158"/>
    <n v="36000"/>
    <n v="2842"/>
    <n v="7.8944444444444442E-2"/>
    <x v="8"/>
    <n v="2576"/>
  </r>
  <r>
    <d v="2020-10-01T00:00:00"/>
    <x v="0"/>
    <x v="9"/>
    <n v="4611"/>
    <n v="33158"/>
    <n v="36000"/>
    <n v="2842"/>
    <n v="7.8944444444444442E-2"/>
    <x v="9"/>
    <n v="1791"/>
  </r>
  <r>
    <d v="2020-11-01T00:00:00"/>
    <x v="0"/>
    <x v="10"/>
    <n v="6380"/>
    <n v="30425"/>
    <n v="36000"/>
    <n v="5575"/>
    <n v="0.15486111111111112"/>
    <x v="0"/>
    <n v="4379"/>
  </r>
  <r>
    <d v="2020-11-01T00:00:00"/>
    <x v="0"/>
    <x v="10"/>
    <n v="6380"/>
    <n v="30425"/>
    <n v="36000"/>
    <n v="5575"/>
    <n v="0.15486111111111112"/>
    <x v="1"/>
    <n v="10000"/>
  </r>
  <r>
    <d v="2020-11-01T00:00:00"/>
    <x v="0"/>
    <x v="10"/>
    <n v="6380"/>
    <n v="30425"/>
    <n v="36000"/>
    <n v="5575"/>
    <n v="0.15486111111111112"/>
    <x v="2"/>
    <n v="2564"/>
  </r>
  <r>
    <d v="2020-11-01T00:00:00"/>
    <x v="0"/>
    <x v="10"/>
    <n v="6380"/>
    <n v="30425"/>
    <n v="36000"/>
    <n v="5575"/>
    <n v="0.15486111111111112"/>
    <x v="3"/>
    <n v="856"/>
  </r>
  <r>
    <d v="2020-11-01T00:00:00"/>
    <x v="0"/>
    <x v="10"/>
    <n v="6380"/>
    <n v="30425"/>
    <n v="36000"/>
    <n v="5575"/>
    <n v="0.15486111111111112"/>
    <x v="4"/>
    <n v="1514"/>
  </r>
  <r>
    <d v="2020-11-01T00:00:00"/>
    <x v="0"/>
    <x v="10"/>
    <n v="6380"/>
    <n v="30425"/>
    <n v="36000"/>
    <n v="5575"/>
    <n v="0.15486111111111112"/>
    <x v="5"/>
    <n v="1292"/>
  </r>
  <r>
    <d v="2020-11-01T00:00:00"/>
    <x v="0"/>
    <x v="10"/>
    <n v="6380"/>
    <n v="30425"/>
    <n v="36000"/>
    <n v="5575"/>
    <n v="0.15486111111111112"/>
    <x v="6"/>
    <n v="5376"/>
  </r>
  <r>
    <d v="2020-11-01T00:00:00"/>
    <x v="0"/>
    <x v="10"/>
    <n v="6380"/>
    <n v="30425"/>
    <n v="36000"/>
    <n v="5575"/>
    <n v="0.15486111111111112"/>
    <x v="7"/>
    <n v="0"/>
  </r>
  <r>
    <d v="2020-11-01T00:00:00"/>
    <x v="0"/>
    <x v="10"/>
    <n v="6380"/>
    <n v="30425"/>
    <n v="36000"/>
    <n v="5575"/>
    <n v="0.15486111111111112"/>
    <x v="8"/>
    <n v="1564"/>
  </r>
  <r>
    <d v="2020-11-01T00:00:00"/>
    <x v="0"/>
    <x v="10"/>
    <n v="6380"/>
    <n v="30425"/>
    <n v="36000"/>
    <n v="5575"/>
    <n v="0.15486111111111112"/>
    <x v="9"/>
    <n v="2880"/>
  </r>
  <r>
    <d v="2020-12-01T00:00:00"/>
    <x v="0"/>
    <x v="11"/>
    <n v="6444"/>
    <n v="32363"/>
    <n v="36000"/>
    <n v="3637"/>
    <n v="0.10102777777777777"/>
    <x v="0"/>
    <n v="6027"/>
  </r>
  <r>
    <d v="2020-12-01T00:00:00"/>
    <x v="0"/>
    <x v="11"/>
    <n v="6444"/>
    <n v="32363"/>
    <n v="36000"/>
    <n v="3637"/>
    <n v="0.10102777777777777"/>
    <x v="1"/>
    <n v="10000"/>
  </r>
  <r>
    <d v="2020-12-01T00:00:00"/>
    <x v="0"/>
    <x v="11"/>
    <n v="6444"/>
    <n v="32363"/>
    <n v="36000"/>
    <n v="3637"/>
    <n v="0.10102777777777777"/>
    <x v="2"/>
    <n v="2995"/>
  </r>
  <r>
    <d v="2020-12-01T00:00:00"/>
    <x v="0"/>
    <x v="11"/>
    <n v="6444"/>
    <n v="32363"/>
    <n v="36000"/>
    <n v="3637"/>
    <n v="0.10102777777777777"/>
    <x v="3"/>
    <n v="762"/>
  </r>
  <r>
    <d v="2020-12-01T00:00:00"/>
    <x v="0"/>
    <x v="11"/>
    <n v="6444"/>
    <n v="32363"/>
    <n v="36000"/>
    <n v="3637"/>
    <n v="0.10102777777777777"/>
    <x v="4"/>
    <n v="1638"/>
  </r>
  <r>
    <d v="2020-12-01T00:00:00"/>
    <x v="0"/>
    <x v="11"/>
    <n v="6444"/>
    <n v="32363"/>
    <n v="36000"/>
    <n v="3637"/>
    <n v="0.10102777777777777"/>
    <x v="5"/>
    <n v="1447"/>
  </r>
  <r>
    <d v="2020-12-01T00:00:00"/>
    <x v="0"/>
    <x v="11"/>
    <n v="6444"/>
    <n v="32363"/>
    <n v="36000"/>
    <n v="3637"/>
    <n v="0.10102777777777777"/>
    <x v="6"/>
    <n v="4880"/>
  </r>
  <r>
    <d v="2020-12-01T00:00:00"/>
    <x v="0"/>
    <x v="11"/>
    <n v="6444"/>
    <n v="32363"/>
    <n v="36000"/>
    <n v="3637"/>
    <n v="0.10102777777777777"/>
    <x v="7"/>
    <n v="0"/>
  </r>
  <r>
    <d v="2020-12-01T00:00:00"/>
    <x v="0"/>
    <x v="11"/>
    <n v="6444"/>
    <n v="32363"/>
    <n v="36000"/>
    <n v="3637"/>
    <n v="0.10102777777777777"/>
    <x v="8"/>
    <n v="3022"/>
  </r>
  <r>
    <d v="2020-12-01T00:00:00"/>
    <x v="0"/>
    <x v="11"/>
    <n v="6444"/>
    <n v="32363"/>
    <n v="36000"/>
    <n v="3637"/>
    <n v="0.10102777777777777"/>
    <x v="9"/>
    <n v="1592"/>
  </r>
  <r>
    <d v="2021-01-01T00:00:00"/>
    <x v="1"/>
    <x v="0"/>
    <n v="4791"/>
    <n v="29795"/>
    <n v="36000"/>
    <n v="6205"/>
    <n v="0.1723611111111111"/>
    <x v="0"/>
    <n v="4378"/>
  </r>
  <r>
    <d v="2021-01-01T00:00:00"/>
    <x v="1"/>
    <x v="0"/>
    <n v="4791"/>
    <n v="29795"/>
    <n v="36000"/>
    <n v="6205"/>
    <n v="0.1723611111111111"/>
    <x v="1"/>
    <n v="10000"/>
  </r>
  <r>
    <d v="2021-01-01T00:00:00"/>
    <x v="1"/>
    <x v="0"/>
    <n v="4791"/>
    <n v="29795"/>
    <n v="36000"/>
    <n v="6205"/>
    <n v="0.1723611111111111"/>
    <x v="2"/>
    <n v="2517"/>
  </r>
  <r>
    <d v="2021-01-01T00:00:00"/>
    <x v="1"/>
    <x v="0"/>
    <n v="4791"/>
    <n v="29795"/>
    <n v="36000"/>
    <n v="6205"/>
    <n v="0.1723611111111111"/>
    <x v="3"/>
    <n v="740"/>
  </r>
  <r>
    <d v="2021-01-01T00:00:00"/>
    <x v="1"/>
    <x v="0"/>
    <n v="4791"/>
    <n v="29795"/>
    <n v="36000"/>
    <n v="6205"/>
    <n v="0.1723611111111111"/>
    <x v="4"/>
    <n v="1527"/>
  </r>
  <r>
    <d v="2021-01-01T00:00:00"/>
    <x v="1"/>
    <x v="0"/>
    <n v="4791"/>
    <n v="29795"/>
    <n v="36000"/>
    <n v="6205"/>
    <n v="0.1723611111111111"/>
    <x v="5"/>
    <n v="1030"/>
  </r>
  <r>
    <d v="2021-01-01T00:00:00"/>
    <x v="1"/>
    <x v="0"/>
    <n v="4791"/>
    <n v="29795"/>
    <n v="36000"/>
    <n v="6205"/>
    <n v="0.1723611111111111"/>
    <x v="6"/>
    <n v="4721"/>
  </r>
  <r>
    <d v="2021-01-01T00:00:00"/>
    <x v="1"/>
    <x v="0"/>
    <n v="4791"/>
    <n v="29795"/>
    <n v="36000"/>
    <n v="6205"/>
    <n v="0.1723611111111111"/>
    <x v="7"/>
    <n v="0"/>
  </r>
  <r>
    <d v="2021-01-01T00:00:00"/>
    <x v="1"/>
    <x v="0"/>
    <n v="4791"/>
    <n v="29795"/>
    <n v="36000"/>
    <n v="6205"/>
    <n v="0.1723611111111111"/>
    <x v="8"/>
    <n v="3682"/>
  </r>
  <r>
    <d v="2021-01-01T00:00:00"/>
    <x v="1"/>
    <x v="0"/>
    <n v="4791"/>
    <n v="29795"/>
    <n v="36000"/>
    <n v="6205"/>
    <n v="0.1723611111111111"/>
    <x v="9"/>
    <n v="1200"/>
  </r>
  <r>
    <d v="2021-02-01T00:00:00"/>
    <x v="1"/>
    <x v="1"/>
    <n v="6793"/>
    <n v="32100"/>
    <n v="36000"/>
    <n v="3900"/>
    <n v="0.10833333333333334"/>
    <x v="0"/>
    <n v="4502"/>
  </r>
  <r>
    <d v="2021-02-01T00:00:00"/>
    <x v="1"/>
    <x v="1"/>
    <n v="6793"/>
    <n v="32100"/>
    <n v="36000"/>
    <n v="3900"/>
    <n v="0.10833333333333334"/>
    <x v="1"/>
    <n v="10000"/>
  </r>
  <r>
    <d v="2021-02-01T00:00:00"/>
    <x v="1"/>
    <x v="1"/>
    <n v="6793"/>
    <n v="32100"/>
    <n v="36000"/>
    <n v="3900"/>
    <n v="0.10833333333333334"/>
    <x v="2"/>
    <n v="3097"/>
  </r>
  <r>
    <d v="2021-02-01T00:00:00"/>
    <x v="1"/>
    <x v="1"/>
    <n v="6793"/>
    <n v="32100"/>
    <n v="36000"/>
    <n v="3900"/>
    <n v="0.10833333333333334"/>
    <x v="3"/>
    <n v="915"/>
  </r>
  <r>
    <d v="2021-02-01T00:00:00"/>
    <x v="1"/>
    <x v="1"/>
    <n v="6793"/>
    <n v="32100"/>
    <n v="36000"/>
    <n v="3900"/>
    <n v="0.10833333333333334"/>
    <x v="4"/>
    <n v="2304"/>
  </r>
  <r>
    <d v="2021-02-01T00:00:00"/>
    <x v="1"/>
    <x v="1"/>
    <n v="6793"/>
    <n v="32100"/>
    <n v="36000"/>
    <n v="3900"/>
    <n v="0.10833333333333334"/>
    <x v="5"/>
    <n v="1206"/>
  </r>
  <r>
    <d v="2021-02-01T00:00:00"/>
    <x v="1"/>
    <x v="1"/>
    <n v="6793"/>
    <n v="32100"/>
    <n v="36000"/>
    <n v="3900"/>
    <n v="0.10833333333333334"/>
    <x v="6"/>
    <n v="4747"/>
  </r>
  <r>
    <d v="2021-02-01T00:00:00"/>
    <x v="1"/>
    <x v="1"/>
    <n v="6793"/>
    <n v="32100"/>
    <n v="36000"/>
    <n v="3900"/>
    <n v="0.10833333333333334"/>
    <x v="7"/>
    <n v="0"/>
  </r>
  <r>
    <d v="2021-02-01T00:00:00"/>
    <x v="1"/>
    <x v="1"/>
    <n v="6793"/>
    <n v="32100"/>
    <n v="36000"/>
    <n v="3900"/>
    <n v="0.10833333333333334"/>
    <x v="8"/>
    <n v="3646"/>
  </r>
  <r>
    <d v="2021-02-01T00:00:00"/>
    <x v="1"/>
    <x v="1"/>
    <n v="6793"/>
    <n v="32100"/>
    <n v="36000"/>
    <n v="3900"/>
    <n v="0.10833333333333334"/>
    <x v="9"/>
    <n v="1683"/>
  </r>
  <r>
    <d v="2021-03-01T00:00:00"/>
    <x v="1"/>
    <x v="2"/>
    <n v="4521"/>
    <n v="31934"/>
    <n v="36000"/>
    <n v="4066"/>
    <n v="0.11294444444444444"/>
    <x v="0"/>
    <n v="4960"/>
  </r>
  <r>
    <d v="2021-03-01T00:00:00"/>
    <x v="1"/>
    <x v="2"/>
    <n v="4521"/>
    <n v="31934"/>
    <n v="36000"/>
    <n v="4066"/>
    <n v="0.11294444444444444"/>
    <x v="1"/>
    <n v="10000"/>
  </r>
  <r>
    <d v="2021-03-01T00:00:00"/>
    <x v="1"/>
    <x v="2"/>
    <n v="4521"/>
    <n v="31934"/>
    <n v="36000"/>
    <n v="4066"/>
    <n v="0.11294444444444444"/>
    <x v="2"/>
    <n v="3466"/>
  </r>
  <r>
    <d v="2021-03-01T00:00:00"/>
    <x v="1"/>
    <x v="2"/>
    <n v="4521"/>
    <n v="31934"/>
    <n v="36000"/>
    <n v="4066"/>
    <n v="0.11294444444444444"/>
    <x v="3"/>
    <n v="1161"/>
  </r>
  <r>
    <d v="2021-03-01T00:00:00"/>
    <x v="1"/>
    <x v="2"/>
    <n v="4521"/>
    <n v="31934"/>
    <n v="36000"/>
    <n v="4066"/>
    <n v="0.11294444444444444"/>
    <x v="4"/>
    <n v="2142"/>
  </r>
  <r>
    <d v="2021-03-01T00:00:00"/>
    <x v="1"/>
    <x v="2"/>
    <n v="4521"/>
    <n v="31934"/>
    <n v="36000"/>
    <n v="4066"/>
    <n v="0.11294444444444444"/>
    <x v="5"/>
    <n v="1412"/>
  </r>
  <r>
    <d v="2021-03-01T00:00:00"/>
    <x v="1"/>
    <x v="2"/>
    <n v="4521"/>
    <n v="31934"/>
    <n v="36000"/>
    <n v="4066"/>
    <n v="0.11294444444444444"/>
    <x v="6"/>
    <n v="4024"/>
  </r>
  <r>
    <d v="2021-03-01T00:00:00"/>
    <x v="1"/>
    <x v="2"/>
    <n v="4521"/>
    <n v="31934"/>
    <n v="36000"/>
    <n v="4066"/>
    <n v="0.11294444444444444"/>
    <x v="7"/>
    <n v="0"/>
  </r>
  <r>
    <d v="2021-03-01T00:00:00"/>
    <x v="1"/>
    <x v="2"/>
    <n v="4521"/>
    <n v="31934"/>
    <n v="36000"/>
    <n v="4066"/>
    <n v="0.11294444444444444"/>
    <x v="8"/>
    <n v="2528"/>
  </r>
  <r>
    <d v="2021-03-01T00:00:00"/>
    <x v="1"/>
    <x v="2"/>
    <n v="4521"/>
    <n v="31934"/>
    <n v="36000"/>
    <n v="4066"/>
    <n v="0.11294444444444444"/>
    <x v="9"/>
    <n v="2241"/>
  </r>
  <r>
    <d v="2021-04-01T00:00:00"/>
    <x v="1"/>
    <x v="3"/>
    <n v="7069"/>
    <n v="32896"/>
    <n v="43200"/>
    <n v="10304"/>
    <n v="0.23851851851851852"/>
    <x v="0"/>
    <n v="6842"/>
  </r>
  <r>
    <d v="2021-04-01T00:00:00"/>
    <x v="1"/>
    <x v="3"/>
    <n v="7069"/>
    <n v="32896"/>
    <n v="43200"/>
    <n v="10304"/>
    <n v="0.23851851851851852"/>
    <x v="1"/>
    <n v="10000"/>
  </r>
  <r>
    <d v="2021-04-01T00:00:00"/>
    <x v="1"/>
    <x v="3"/>
    <n v="7069"/>
    <n v="32896"/>
    <n v="43200"/>
    <n v="10304"/>
    <n v="0.23851851851851852"/>
    <x v="2"/>
    <n v="1706"/>
  </r>
  <r>
    <d v="2021-04-01T00:00:00"/>
    <x v="1"/>
    <x v="3"/>
    <n v="7069"/>
    <n v="32896"/>
    <n v="43200"/>
    <n v="10304"/>
    <n v="0.23851851851851852"/>
    <x v="3"/>
    <n v="714"/>
  </r>
  <r>
    <d v="2021-04-01T00:00:00"/>
    <x v="1"/>
    <x v="3"/>
    <n v="7069"/>
    <n v="32896"/>
    <n v="43200"/>
    <n v="10304"/>
    <n v="0.23851851851851852"/>
    <x v="4"/>
    <n v="2357"/>
  </r>
  <r>
    <d v="2021-04-01T00:00:00"/>
    <x v="1"/>
    <x v="3"/>
    <n v="7069"/>
    <n v="32896"/>
    <n v="43200"/>
    <n v="10304"/>
    <n v="0.23851851851851852"/>
    <x v="5"/>
    <n v="1192"/>
  </r>
  <r>
    <d v="2021-04-01T00:00:00"/>
    <x v="1"/>
    <x v="3"/>
    <n v="7069"/>
    <n v="32896"/>
    <n v="43200"/>
    <n v="10304"/>
    <n v="0.23851851851851852"/>
    <x v="6"/>
    <n v="4387"/>
  </r>
  <r>
    <d v="2021-04-01T00:00:00"/>
    <x v="1"/>
    <x v="3"/>
    <n v="7069"/>
    <n v="32896"/>
    <n v="43200"/>
    <n v="10304"/>
    <n v="0.23851851851851852"/>
    <x v="7"/>
    <n v="0"/>
  </r>
  <r>
    <d v="2021-04-01T00:00:00"/>
    <x v="1"/>
    <x v="3"/>
    <n v="7069"/>
    <n v="32896"/>
    <n v="43200"/>
    <n v="10304"/>
    <n v="0.23851851851851852"/>
    <x v="8"/>
    <n v="2984"/>
  </r>
  <r>
    <d v="2021-04-01T00:00:00"/>
    <x v="1"/>
    <x v="3"/>
    <n v="7069"/>
    <n v="32896"/>
    <n v="43200"/>
    <n v="10304"/>
    <n v="0.23851851851851852"/>
    <x v="9"/>
    <n v="2714"/>
  </r>
  <r>
    <d v="2021-05-01T00:00:00"/>
    <x v="1"/>
    <x v="4"/>
    <n v="5197"/>
    <n v="32310"/>
    <n v="43200"/>
    <n v="10890"/>
    <n v="0.25208333333333333"/>
    <x v="0"/>
    <n v="4563"/>
  </r>
  <r>
    <d v="2021-05-01T00:00:00"/>
    <x v="1"/>
    <x v="4"/>
    <n v="5197"/>
    <n v="32310"/>
    <n v="43200"/>
    <n v="10890"/>
    <n v="0.25208333333333333"/>
    <x v="1"/>
    <n v="10000"/>
  </r>
  <r>
    <d v="2021-05-01T00:00:00"/>
    <x v="1"/>
    <x v="4"/>
    <n v="5197"/>
    <n v="32310"/>
    <n v="43200"/>
    <n v="10890"/>
    <n v="0.25208333333333333"/>
    <x v="2"/>
    <n v="1595"/>
  </r>
  <r>
    <d v="2021-05-01T00:00:00"/>
    <x v="1"/>
    <x v="4"/>
    <n v="5197"/>
    <n v="32310"/>
    <n v="43200"/>
    <n v="10890"/>
    <n v="0.25208333333333333"/>
    <x v="3"/>
    <n v="1087"/>
  </r>
  <r>
    <d v="2021-05-01T00:00:00"/>
    <x v="1"/>
    <x v="4"/>
    <n v="5197"/>
    <n v="32310"/>
    <n v="43200"/>
    <n v="10890"/>
    <n v="0.25208333333333333"/>
    <x v="4"/>
    <n v="2233"/>
  </r>
  <r>
    <d v="2021-05-01T00:00:00"/>
    <x v="1"/>
    <x v="4"/>
    <n v="5197"/>
    <n v="32310"/>
    <n v="43200"/>
    <n v="10890"/>
    <n v="0.25208333333333333"/>
    <x v="5"/>
    <n v="1820"/>
  </r>
  <r>
    <d v="2021-05-01T00:00:00"/>
    <x v="1"/>
    <x v="4"/>
    <n v="5197"/>
    <n v="32310"/>
    <n v="43200"/>
    <n v="10890"/>
    <n v="0.25208333333333333"/>
    <x v="6"/>
    <n v="5486"/>
  </r>
  <r>
    <d v="2021-05-01T00:00:00"/>
    <x v="1"/>
    <x v="4"/>
    <n v="5197"/>
    <n v="32310"/>
    <n v="43200"/>
    <n v="10890"/>
    <n v="0.25208333333333333"/>
    <x v="7"/>
    <n v="0"/>
  </r>
  <r>
    <d v="2021-05-01T00:00:00"/>
    <x v="1"/>
    <x v="4"/>
    <n v="5197"/>
    <n v="32310"/>
    <n v="43200"/>
    <n v="10890"/>
    <n v="0.25208333333333333"/>
    <x v="8"/>
    <n v="3778"/>
  </r>
  <r>
    <d v="2021-05-01T00:00:00"/>
    <x v="1"/>
    <x v="4"/>
    <n v="5197"/>
    <n v="32310"/>
    <n v="43200"/>
    <n v="10890"/>
    <n v="0.25208333333333333"/>
    <x v="9"/>
    <n v="1748"/>
  </r>
  <r>
    <d v="2021-06-01T00:00:00"/>
    <x v="1"/>
    <x v="5"/>
    <n v="5597"/>
    <n v="35109"/>
    <n v="43200"/>
    <n v="8091"/>
    <n v="0.18729166666666666"/>
    <x v="0"/>
    <n v="6572"/>
  </r>
  <r>
    <d v="2021-06-01T00:00:00"/>
    <x v="1"/>
    <x v="5"/>
    <n v="5597"/>
    <n v="35109"/>
    <n v="43200"/>
    <n v="8091"/>
    <n v="0.18729166666666666"/>
    <x v="1"/>
    <n v="10000"/>
  </r>
  <r>
    <d v="2021-06-01T00:00:00"/>
    <x v="1"/>
    <x v="5"/>
    <n v="5597"/>
    <n v="35109"/>
    <n v="43200"/>
    <n v="8091"/>
    <n v="0.18729166666666666"/>
    <x v="2"/>
    <n v="3362"/>
  </r>
  <r>
    <d v="2021-06-01T00:00:00"/>
    <x v="1"/>
    <x v="5"/>
    <n v="5597"/>
    <n v="35109"/>
    <n v="43200"/>
    <n v="8091"/>
    <n v="0.18729166666666666"/>
    <x v="3"/>
    <n v="886"/>
  </r>
  <r>
    <d v="2021-06-01T00:00:00"/>
    <x v="1"/>
    <x v="5"/>
    <n v="5597"/>
    <n v="35109"/>
    <n v="43200"/>
    <n v="8091"/>
    <n v="0.18729166666666666"/>
    <x v="4"/>
    <n v="1742"/>
  </r>
  <r>
    <d v="2021-06-01T00:00:00"/>
    <x v="1"/>
    <x v="5"/>
    <n v="5597"/>
    <n v="35109"/>
    <n v="43200"/>
    <n v="8091"/>
    <n v="0.18729166666666666"/>
    <x v="5"/>
    <n v="1983"/>
  </r>
  <r>
    <d v="2021-06-01T00:00:00"/>
    <x v="1"/>
    <x v="5"/>
    <n v="5597"/>
    <n v="35109"/>
    <n v="43200"/>
    <n v="8091"/>
    <n v="0.18729166666666666"/>
    <x v="6"/>
    <n v="5668"/>
  </r>
  <r>
    <d v="2021-06-01T00:00:00"/>
    <x v="1"/>
    <x v="5"/>
    <n v="5597"/>
    <n v="35109"/>
    <n v="43200"/>
    <n v="8091"/>
    <n v="0.18729166666666666"/>
    <x v="7"/>
    <n v="0"/>
  </r>
  <r>
    <d v="2021-06-01T00:00:00"/>
    <x v="1"/>
    <x v="5"/>
    <n v="5597"/>
    <n v="35109"/>
    <n v="43200"/>
    <n v="8091"/>
    <n v="0.18729166666666666"/>
    <x v="8"/>
    <n v="3319"/>
  </r>
  <r>
    <d v="2021-06-01T00:00:00"/>
    <x v="1"/>
    <x v="5"/>
    <n v="5597"/>
    <n v="35109"/>
    <n v="43200"/>
    <n v="8091"/>
    <n v="0.18729166666666666"/>
    <x v="9"/>
    <n v="1577"/>
  </r>
  <r>
    <d v="2021-07-01T00:00:00"/>
    <x v="1"/>
    <x v="6"/>
    <n v="5721"/>
    <n v="35612"/>
    <n v="43200"/>
    <n v="7588"/>
    <n v="0.17564814814814814"/>
    <x v="0"/>
    <n v="6693"/>
  </r>
  <r>
    <d v="2021-07-01T00:00:00"/>
    <x v="1"/>
    <x v="6"/>
    <n v="5721"/>
    <n v="35612"/>
    <n v="43200"/>
    <n v="7588"/>
    <n v="0.17564814814814814"/>
    <x v="1"/>
    <n v="10000"/>
  </r>
  <r>
    <d v="2021-07-01T00:00:00"/>
    <x v="1"/>
    <x v="6"/>
    <n v="5721"/>
    <n v="35612"/>
    <n v="43200"/>
    <n v="7588"/>
    <n v="0.17564814814814814"/>
    <x v="2"/>
    <n v="2551"/>
  </r>
  <r>
    <d v="2021-07-01T00:00:00"/>
    <x v="1"/>
    <x v="6"/>
    <n v="5721"/>
    <n v="35612"/>
    <n v="43200"/>
    <n v="7588"/>
    <n v="0.17564814814814814"/>
    <x v="3"/>
    <n v="807"/>
  </r>
  <r>
    <d v="2021-07-01T00:00:00"/>
    <x v="1"/>
    <x v="6"/>
    <n v="5721"/>
    <n v="35612"/>
    <n v="43200"/>
    <n v="7588"/>
    <n v="0.17564814814814814"/>
    <x v="4"/>
    <n v="2055"/>
  </r>
  <r>
    <d v="2021-07-01T00:00:00"/>
    <x v="1"/>
    <x v="6"/>
    <n v="5721"/>
    <n v="35612"/>
    <n v="43200"/>
    <n v="7588"/>
    <n v="0.17564814814814814"/>
    <x v="5"/>
    <n v="1595"/>
  </r>
  <r>
    <d v="2021-07-01T00:00:00"/>
    <x v="1"/>
    <x v="6"/>
    <n v="5721"/>
    <n v="35612"/>
    <n v="43200"/>
    <n v="7588"/>
    <n v="0.17564814814814814"/>
    <x v="6"/>
    <n v="6227"/>
  </r>
  <r>
    <d v="2021-07-01T00:00:00"/>
    <x v="1"/>
    <x v="6"/>
    <n v="5721"/>
    <n v="35612"/>
    <n v="43200"/>
    <n v="7588"/>
    <n v="0.17564814814814814"/>
    <x v="7"/>
    <n v="0"/>
  </r>
  <r>
    <d v="2021-07-01T00:00:00"/>
    <x v="1"/>
    <x v="6"/>
    <n v="5721"/>
    <n v="35612"/>
    <n v="43200"/>
    <n v="7588"/>
    <n v="0.17564814814814814"/>
    <x v="8"/>
    <n v="2863"/>
  </r>
  <r>
    <d v="2021-07-01T00:00:00"/>
    <x v="1"/>
    <x v="6"/>
    <n v="5721"/>
    <n v="35612"/>
    <n v="43200"/>
    <n v="7588"/>
    <n v="0.17564814814814814"/>
    <x v="9"/>
    <n v="2821"/>
  </r>
  <r>
    <d v="2021-08-01T00:00:00"/>
    <x v="1"/>
    <x v="7"/>
    <n v="5843"/>
    <n v="32843"/>
    <n v="43200"/>
    <n v="10357"/>
    <n v="0.23974537037037036"/>
    <x v="0"/>
    <n v="6038"/>
  </r>
  <r>
    <d v="2021-08-01T00:00:00"/>
    <x v="1"/>
    <x v="7"/>
    <n v="5843"/>
    <n v="32843"/>
    <n v="43200"/>
    <n v="10357"/>
    <n v="0.23974537037037036"/>
    <x v="1"/>
    <n v="10000"/>
  </r>
  <r>
    <d v="2021-08-01T00:00:00"/>
    <x v="1"/>
    <x v="7"/>
    <n v="5843"/>
    <n v="32843"/>
    <n v="43200"/>
    <n v="10357"/>
    <n v="0.23974537037037036"/>
    <x v="2"/>
    <n v="2748"/>
  </r>
  <r>
    <d v="2021-08-01T00:00:00"/>
    <x v="1"/>
    <x v="7"/>
    <n v="5843"/>
    <n v="32843"/>
    <n v="43200"/>
    <n v="10357"/>
    <n v="0.23974537037037036"/>
    <x v="3"/>
    <n v="1084"/>
  </r>
  <r>
    <d v="2021-08-01T00:00:00"/>
    <x v="1"/>
    <x v="7"/>
    <n v="5843"/>
    <n v="32843"/>
    <n v="43200"/>
    <n v="10357"/>
    <n v="0.23974537037037036"/>
    <x v="4"/>
    <n v="1876"/>
  </r>
  <r>
    <d v="2021-08-01T00:00:00"/>
    <x v="1"/>
    <x v="7"/>
    <n v="5843"/>
    <n v="32843"/>
    <n v="43200"/>
    <n v="10357"/>
    <n v="0.23974537037037036"/>
    <x v="5"/>
    <n v="989"/>
  </r>
  <r>
    <d v="2021-08-01T00:00:00"/>
    <x v="1"/>
    <x v="7"/>
    <n v="5843"/>
    <n v="32843"/>
    <n v="43200"/>
    <n v="10357"/>
    <n v="0.23974537037037036"/>
    <x v="6"/>
    <n v="4321"/>
  </r>
  <r>
    <d v="2021-08-01T00:00:00"/>
    <x v="1"/>
    <x v="7"/>
    <n v="5843"/>
    <n v="32843"/>
    <n v="43200"/>
    <n v="10357"/>
    <n v="0.23974537037037036"/>
    <x v="7"/>
    <n v="0"/>
  </r>
  <r>
    <d v="2021-08-01T00:00:00"/>
    <x v="1"/>
    <x v="7"/>
    <n v="5843"/>
    <n v="32843"/>
    <n v="43200"/>
    <n v="10357"/>
    <n v="0.23974537037037036"/>
    <x v="8"/>
    <n v="2806"/>
  </r>
  <r>
    <d v="2021-08-01T00:00:00"/>
    <x v="1"/>
    <x v="7"/>
    <n v="5843"/>
    <n v="32843"/>
    <n v="43200"/>
    <n v="10357"/>
    <n v="0.23974537037037036"/>
    <x v="9"/>
    <n v="2981"/>
  </r>
  <r>
    <d v="2021-09-01T00:00:00"/>
    <x v="1"/>
    <x v="8"/>
    <n v="5483"/>
    <n v="33360"/>
    <n v="43200"/>
    <n v="9840"/>
    <n v="0.22777777777777777"/>
    <x v="0"/>
    <n v="5282"/>
  </r>
  <r>
    <d v="2021-09-01T00:00:00"/>
    <x v="1"/>
    <x v="8"/>
    <n v="5483"/>
    <n v="33360"/>
    <n v="43200"/>
    <n v="9840"/>
    <n v="0.22777777777777777"/>
    <x v="1"/>
    <n v="10000"/>
  </r>
  <r>
    <d v="2021-09-01T00:00:00"/>
    <x v="1"/>
    <x v="8"/>
    <n v="5483"/>
    <n v="33360"/>
    <n v="43200"/>
    <n v="9840"/>
    <n v="0.22777777777777777"/>
    <x v="2"/>
    <n v="2979"/>
  </r>
  <r>
    <d v="2021-09-01T00:00:00"/>
    <x v="1"/>
    <x v="8"/>
    <n v="5483"/>
    <n v="33360"/>
    <n v="43200"/>
    <n v="9840"/>
    <n v="0.22777777777777777"/>
    <x v="3"/>
    <n v="1110"/>
  </r>
  <r>
    <d v="2021-09-01T00:00:00"/>
    <x v="1"/>
    <x v="8"/>
    <n v="5483"/>
    <n v="33360"/>
    <n v="43200"/>
    <n v="9840"/>
    <n v="0.22777777777777777"/>
    <x v="4"/>
    <n v="2148"/>
  </r>
  <r>
    <d v="2021-09-01T00:00:00"/>
    <x v="1"/>
    <x v="8"/>
    <n v="5483"/>
    <n v="33360"/>
    <n v="43200"/>
    <n v="9840"/>
    <n v="0.22777777777777777"/>
    <x v="5"/>
    <n v="1509"/>
  </r>
  <r>
    <d v="2021-09-01T00:00:00"/>
    <x v="1"/>
    <x v="8"/>
    <n v="5483"/>
    <n v="33360"/>
    <n v="43200"/>
    <n v="9840"/>
    <n v="0.22777777777777777"/>
    <x v="6"/>
    <n v="5815"/>
  </r>
  <r>
    <d v="2021-09-01T00:00:00"/>
    <x v="1"/>
    <x v="8"/>
    <n v="5483"/>
    <n v="33360"/>
    <n v="43200"/>
    <n v="9840"/>
    <n v="0.22777777777777777"/>
    <x v="7"/>
    <n v="0"/>
  </r>
  <r>
    <d v="2021-09-01T00:00:00"/>
    <x v="1"/>
    <x v="8"/>
    <n v="5483"/>
    <n v="33360"/>
    <n v="43200"/>
    <n v="9840"/>
    <n v="0.22777777777777777"/>
    <x v="8"/>
    <n v="1817"/>
  </r>
  <r>
    <d v="2021-09-01T00:00:00"/>
    <x v="1"/>
    <x v="8"/>
    <n v="5483"/>
    <n v="33360"/>
    <n v="43200"/>
    <n v="9840"/>
    <n v="0.22777777777777777"/>
    <x v="9"/>
    <n v="2700"/>
  </r>
  <r>
    <d v="2021-10-01T00:00:00"/>
    <x v="1"/>
    <x v="9"/>
    <n v="6468"/>
    <n v="32306"/>
    <n v="43200"/>
    <n v="10894"/>
    <n v="0.25217592592592591"/>
    <x v="0"/>
    <n v="4663"/>
  </r>
  <r>
    <d v="2021-10-01T00:00:00"/>
    <x v="1"/>
    <x v="9"/>
    <n v="6468"/>
    <n v="32306"/>
    <n v="43200"/>
    <n v="10894"/>
    <n v="0.25217592592592591"/>
    <x v="1"/>
    <n v="10000"/>
  </r>
  <r>
    <d v="2021-10-01T00:00:00"/>
    <x v="1"/>
    <x v="9"/>
    <n v="6468"/>
    <n v="32306"/>
    <n v="43200"/>
    <n v="10894"/>
    <n v="0.25217592592592591"/>
    <x v="2"/>
    <n v="3353"/>
  </r>
  <r>
    <d v="2021-10-01T00:00:00"/>
    <x v="1"/>
    <x v="9"/>
    <n v="6468"/>
    <n v="32306"/>
    <n v="43200"/>
    <n v="10894"/>
    <n v="0.25217592592592591"/>
    <x v="3"/>
    <n v="1196"/>
  </r>
  <r>
    <d v="2021-10-01T00:00:00"/>
    <x v="1"/>
    <x v="9"/>
    <n v="6468"/>
    <n v="32306"/>
    <n v="43200"/>
    <n v="10894"/>
    <n v="0.25217592592592591"/>
    <x v="4"/>
    <n v="1941"/>
  </r>
  <r>
    <d v="2021-10-01T00:00:00"/>
    <x v="1"/>
    <x v="9"/>
    <n v="6468"/>
    <n v="32306"/>
    <n v="43200"/>
    <n v="10894"/>
    <n v="0.25217592592592591"/>
    <x v="5"/>
    <n v="1936"/>
  </r>
  <r>
    <d v="2021-10-01T00:00:00"/>
    <x v="1"/>
    <x v="9"/>
    <n v="6468"/>
    <n v="32306"/>
    <n v="43200"/>
    <n v="10894"/>
    <n v="0.25217592592592591"/>
    <x v="6"/>
    <n v="4863"/>
  </r>
  <r>
    <d v="2021-10-01T00:00:00"/>
    <x v="1"/>
    <x v="9"/>
    <n v="6468"/>
    <n v="32306"/>
    <n v="43200"/>
    <n v="10894"/>
    <n v="0.25217592592592591"/>
    <x v="7"/>
    <n v="0"/>
  </r>
  <r>
    <d v="2021-10-01T00:00:00"/>
    <x v="1"/>
    <x v="9"/>
    <n v="6468"/>
    <n v="32306"/>
    <n v="43200"/>
    <n v="10894"/>
    <n v="0.25217592592592591"/>
    <x v="8"/>
    <n v="2063"/>
  </r>
  <r>
    <d v="2021-10-01T00:00:00"/>
    <x v="1"/>
    <x v="9"/>
    <n v="6468"/>
    <n v="32306"/>
    <n v="43200"/>
    <n v="10894"/>
    <n v="0.25217592592592591"/>
    <x v="9"/>
    <n v="2291"/>
  </r>
  <r>
    <d v="2021-11-01T00:00:00"/>
    <x v="1"/>
    <x v="10"/>
    <n v="4462"/>
    <n v="30838"/>
    <n v="43200"/>
    <n v="12362"/>
    <n v="0.28615740740740742"/>
    <x v="0"/>
    <n v="5636"/>
  </r>
  <r>
    <d v="2021-11-01T00:00:00"/>
    <x v="1"/>
    <x v="10"/>
    <n v="4462"/>
    <n v="30838"/>
    <n v="43200"/>
    <n v="12362"/>
    <n v="0.28615740740740742"/>
    <x v="1"/>
    <n v="10000"/>
  </r>
  <r>
    <d v="2021-11-01T00:00:00"/>
    <x v="1"/>
    <x v="10"/>
    <n v="4462"/>
    <n v="30838"/>
    <n v="43200"/>
    <n v="12362"/>
    <n v="0.28615740740740742"/>
    <x v="2"/>
    <n v="2604"/>
  </r>
  <r>
    <d v="2021-11-01T00:00:00"/>
    <x v="1"/>
    <x v="10"/>
    <n v="4462"/>
    <n v="30838"/>
    <n v="43200"/>
    <n v="12362"/>
    <n v="0.28615740740740742"/>
    <x v="3"/>
    <n v="886"/>
  </r>
  <r>
    <d v="2021-11-01T00:00:00"/>
    <x v="1"/>
    <x v="10"/>
    <n v="4462"/>
    <n v="30838"/>
    <n v="43200"/>
    <n v="12362"/>
    <n v="0.28615740740740742"/>
    <x v="4"/>
    <n v="1612"/>
  </r>
  <r>
    <d v="2021-11-01T00:00:00"/>
    <x v="1"/>
    <x v="10"/>
    <n v="4462"/>
    <n v="30838"/>
    <n v="43200"/>
    <n v="12362"/>
    <n v="0.28615740740740742"/>
    <x v="5"/>
    <n v="1751"/>
  </r>
  <r>
    <d v="2021-11-01T00:00:00"/>
    <x v="1"/>
    <x v="10"/>
    <n v="4462"/>
    <n v="30838"/>
    <n v="43200"/>
    <n v="12362"/>
    <n v="0.28615740740740742"/>
    <x v="6"/>
    <n v="5207"/>
  </r>
  <r>
    <d v="2021-11-01T00:00:00"/>
    <x v="1"/>
    <x v="10"/>
    <n v="4462"/>
    <n v="30838"/>
    <n v="43200"/>
    <n v="12362"/>
    <n v="0.28615740740740742"/>
    <x v="7"/>
    <n v="0"/>
  </r>
  <r>
    <d v="2021-11-01T00:00:00"/>
    <x v="1"/>
    <x v="10"/>
    <n v="4462"/>
    <n v="30838"/>
    <n v="43200"/>
    <n v="12362"/>
    <n v="0.28615740740740742"/>
    <x v="8"/>
    <n v="1501"/>
  </r>
  <r>
    <d v="2021-11-01T00:00:00"/>
    <x v="1"/>
    <x v="10"/>
    <n v="4462"/>
    <n v="30838"/>
    <n v="43200"/>
    <n v="12362"/>
    <n v="0.28615740740740742"/>
    <x v="9"/>
    <n v="1641"/>
  </r>
  <r>
    <d v="2021-12-01T00:00:00"/>
    <x v="1"/>
    <x v="11"/>
    <n v="6708"/>
    <n v="32893"/>
    <n v="43200"/>
    <n v="10307"/>
    <n v="0.23858796296296297"/>
    <x v="0"/>
    <n v="5759"/>
  </r>
  <r>
    <d v="2021-12-01T00:00:00"/>
    <x v="1"/>
    <x v="11"/>
    <n v="6708"/>
    <n v="32893"/>
    <n v="43200"/>
    <n v="10307"/>
    <n v="0.23858796296296297"/>
    <x v="1"/>
    <n v="10000"/>
  </r>
  <r>
    <d v="2021-12-01T00:00:00"/>
    <x v="1"/>
    <x v="11"/>
    <n v="6708"/>
    <n v="32893"/>
    <n v="43200"/>
    <n v="10307"/>
    <n v="0.23858796296296297"/>
    <x v="2"/>
    <n v="2926"/>
  </r>
  <r>
    <d v="2021-12-01T00:00:00"/>
    <x v="1"/>
    <x v="11"/>
    <n v="6708"/>
    <n v="32893"/>
    <n v="43200"/>
    <n v="10307"/>
    <n v="0.23858796296296297"/>
    <x v="3"/>
    <n v="825"/>
  </r>
  <r>
    <d v="2021-12-01T00:00:00"/>
    <x v="1"/>
    <x v="11"/>
    <n v="6708"/>
    <n v="32893"/>
    <n v="43200"/>
    <n v="10307"/>
    <n v="0.23858796296296297"/>
    <x v="4"/>
    <n v="1629"/>
  </r>
  <r>
    <d v="2021-12-01T00:00:00"/>
    <x v="1"/>
    <x v="11"/>
    <n v="6708"/>
    <n v="32893"/>
    <n v="43200"/>
    <n v="10307"/>
    <n v="0.23858796296296297"/>
    <x v="5"/>
    <n v="1184"/>
  </r>
  <r>
    <d v="2021-12-01T00:00:00"/>
    <x v="1"/>
    <x v="11"/>
    <n v="6708"/>
    <n v="32893"/>
    <n v="43200"/>
    <n v="10307"/>
    <n v="0.23858796296296297"/>
    <x v="6"/>
    <n v="5287"/>
  </r>
  <r>
    <d v="2021-12-01T00:00:00"/>
    <x v="1"/>
    <x v="11"/>
    <n v="6708"/>
    <n v="32893"/>
    <n v="43200"/>
    <n v="10307"/>
    <n v="0.23858796296296297"/>
    <x v="7"/>
    <n v="0"/>
  </r>
  <r>
    <d v="2021-12-01T00:00:00"/>
    <x v="1"/>
    <x v="11"/>
    <n v="6708"/>
    <n v="32893"/>
    <n v="43200"/>
    <n v="10307"/>
    <n v="0.23858796296296297"/>
    <x v="8"/>
    <n v="2576"/>
  </r>
  <r>
    <d v="2021-12-01T00:00:00"/>
    <x v="1"/>
    <x v="11"/>
    <n v="6708"/>
    <n v="32893"/>
    <n v="43200"/>
    <n v="10307"/>
    <n v="0.23858796296296297"/>
    <x v="9"/>
    <n v="2707"/>
  </r>
  <r>
    <d v="2022-01-01T00:00:00"/>
    <x v="2"/>
    <x v="0"/>
    <n v="6565"/>
    <n v="33045"/>
    <n v="48000"/>
    <n v="14955"/>
    <n v="0.31156250000000002"/>
    <x v="0"/>
    <n v="6294"/>
  </r>
  <r>
    <d v="2022-01-01T00:00:00"/>
    <x v="2"/>
    <x v="0"/>
    <n v="6565"/>
    <n v="33045"/>
    <n v="48000"/>
    <n v="14955"/>
    <n v="0.31156250000000002"/>
    <x v="1"/>
    <n v="10000"/>
  </r>
  <r>
    <d v="2022-01-01T00:00:00"/>
    <x v="2"/>
    <x v="0"/>
    <n v="6565"/>
    <n v="33045"/>
    <n v="48000"/>
    <n v="14955"/>
    <n v="0.31156250000000002"/>
    <x v="2"/>
    <n v="2962"/>
  </r>
  <r>
    <d v="2022-01-01T00:00:00"/>
    <x v="2"/>
    <x v="0"/>
    <n v="6565"/>
    <n v="33045"/>
    <n v="48000"/>
    <n v="14955"/>
    <n v="0.31156250000000002"/>
    <x v="3"/>
    <n v="902"/>
  </r>
  <r>
    <d v="2022-01-01T00:00:00"/>
    <x v="2"/>
    <x v="0"/>
    <n v="6565"/>
    <n v="33045"/>
    <n v="48000"/>
    <n v="14955"/>
    <n v="0.31156250000000002"/>
    <x v="4"/>
    <n v="1683"/>
  </r>
  <r>
    <d v="2022-01-01T00:00:00"/>
    <x v="2"/>
    <x v="0"/>
    <n v="6565"/>
    <n v="33045"/>
    <n v="48000"/>
    <n v="14955"/>
    <n v="0.31156250000000002"/>
    <x v="5"/>
    <n v="1635"/>
  </r>
  <r>
    <d v="2022-01-01T00:00:00"/>
    <x v="2"/>
    <x v="0"/>
    <n v="6565"/>
    <n v="33045"/>
    <n v="48000"/>
    <n v="14955"/>
    <n v="0.31156250000000002"/>
    <x v="6"/>
    <n v="6547"/>
  </r>
  <r>
    <d v="2022-01-01T00:00:00"/>
    <x v="2"/>
    <x v="0"/>
    <n v="6565"/>
    <n v="33045"/>
    <n v="48000"/>
    <n v="14955"/>
    <n v="0.31156250000000002"/>
    <x v="7"/>
    <n v="0"/>
  </r>
  <r>
    <d v="2022-01-01T00:00:00"/>
    <x v="2"/>
    <x v="0"/>
    <n v="6565"/>
    <n v="33045"/>
    <n v="48000"/>
    <n v="14955"/>
    <n v="0.31156250000000002"/>
    <x v="8"/>
    <n v="1622"/>
  </r>
  <r>
    <d v="2022-01-01T00:00:00"/>
    <x v="2"/>
    <x v="0"/>
    <n v="6565"/>
    <n v="33045"/>
    <n v="48000"/>
    <n v="14955"/>
    <n v="0.31156250000000002"/>
    <x v="9"/>
    <n v="1400"/>
  </r>
  <r>
    <d v="2022-02-01T00:00:00"/>
    <x v="2"/>
    <x v="1"/>
    <n v="7239"/>
    <n v="33973"/>
    <n v="48000"/>
    <n v="14027"/>
    <n v="0.29222916666666665"/>
    <x v="0"/>
    <n v="6931"/>
  </r>
  <r>
    <d v="2022-02-01T00:00:00"/>
    <x v="2"/>
    <x v="1"/>
    <n v="7239"/>
    <n v="33973"/>
    <n v="48000"/>
    <n v="14027"/>
    <n v="0.29222916666666665"/>
    <x v="1"/>
    <n v="10000"/>
  </r>
  <r>
    <d v="2022-02-01T00:00:00"/>
    <x v="2"/>
    <x v="1"/>
    <n v="7239"/>
    <n v="33973"/>
    <n v="48000"/>
    <n v="14027"/>
    <n v="0.29222916666666665"/>
    <x v="2"/>
    <n v="2481"/>
  </r>
  <r>
    <d v="2022-02-01T00:00:00"/>
    <x v="2"/>
    <x v="1"/>
    <n v="7239"/>
    <n v="33973"/>
    <n v="48000"/>
    <n v="14027"/>
    <n v="0.29222916666666665"/>
    <x v="3"/>
    <n v="1094"/>
  </r>
  <r>
    <d v="2022-02-01T00:00:00"/>
    <x v="2"/>
    <x v="1"/>
    <n v="7239"/>
    <n v="33973"/>
    <n v="48000"/>
    <n v="14027"/>
    <n v="0.29222916666666665"/>
    <x v="4"/>
    <n v="2010"/>
  </r>
  <r>
    <d v="2022-02-01T00:00:00"/>
    <x v="2"/>
    <x v="1"/>
    <n v="7239"/>
    <n v="33973"/>
    <n v="48000"/>
    <n v="14027"/>
    <n v="0.29222916666666665"/>
    <x v="5"/>
    <n v="997"/>
  </r>
  <r>
    <d v="2022-02-01T00:00:00"/>
    <x v="2"/>
    <x v="1"/>
    <n v="7239"/>
    <n v="33973"/>
    <n v="48000"/>
    <n v="14027"/>
    <n v="0.29222916666666665"/>
    <x v="6"/>
    <n v="5161"/>
  </r>
  <r>
    <d v="2022-02-01T00:00:00"/>
    <x v="2"/>
    <x v="1"/>
    <n v="7239"/>
    <n v="33973"/>
    <n v="48000"/>
    <n v="14027"/>
    <n v="0.29222916666666665"/>
    <x v="7"/>
    <n v="0"/>
  </r>
  <r>
    <d v="2022-02-01T00:00:00"/>
    <x v="2"/>
    <x v="1"/>
    <n v="7239"/>
    <n v="33973"/>
    <n v="48000"/>
    <n v="14027"/>
    <n v="0.29222916666666665"/>
    <x v="8"/>
    <n v="3691"/>
  </r>
  <r>
    <d v="2022-02-01T00:00:00"/>
    <x v="2"/>
    <x v="1"/>
    <n v="7239"/>
    <n v="33973"/>
    <n v="48000"/>
    <n v="14027"/>
    <n v="0.29222916666666665"/>
    <x v="9"/>
    <n v="1608"/>
  </r>
  <r>
    <d v="2022-03-01T00:00:00"/>
    <x v="2"/>
    <x v="2"/>
    <n v="5887"/>
    <n v="36154"/>
    <n v="48000"/>
    <n v="11846"/>
    <n v="0.24679166666666666"/>
    <x v="0"/>
    <n v="6511"/>
  </r>
  <r>
    <d v="2022-03-01T00:00:00"/>
    <x v="2"/>
    <x v="2"/>
    <n v="5887"/>
    <n v="36154"/>
    <n v="48000"/>
    <n v="11846"/>
    <n v="0.24679166666666666"/>
    <x v="1"/>
    <n v="10000"/>
  </r>
  <r>
    <d v="2022-03-01T00:00:00"/>
    <x v="2"/>
    <x v="2"/>
    <n v="5887"/>
    <n v="36154"/>
    <n v="48000"/>
    <n v="11846"/>
    <n v="0.24679166666666666"/>
    <x v="2"/>
    <n v="2263"/>
  </r>
  <r>
    <d v="2022-03-01T00:00:00"/>
    <x v="2"/>
    <x v="2"/>
    <n v="5887"/>
    <n v="36154"/>
    <n v="48000"/>
    <n v="11846"/>
    <n v="0.24679166666666666"/>
    <x v="3"/>
    <n v="1142"/>
  </r>
  <r>
    <d v="2022-03-01T00:00:00"/>
    <x v="2"/>
    <x v="2"/>
    <n v="5887"/>
    <n v="36154"/>
    <n v="48000"/>
    <n v="11846"/>
    <n v="0.24679166666666666"/>
    <x v="4"/>
    <n v="2431"/>
  </r>
  <r>
    <d v="2022-03-01T00:00:00"/>
    <x v="2"/>
    <x v="2"/>
    <n v="5887"/>
    <n v="36154"/>
    <n v="48000"/>
    <n v="11846"/>
    <n v="0.24679166666666666"/>
    <x v="5"/>
    <n v="1459"/>
  </r>
  <r>
    <d v="2022-03-01T00:00:00"/>
    <x v="2"/>
    <x v="2"/>
    <n v="5887"/>
    <n v="36154"/>
    <n v="48000"/>
    <n v="11846"/>
    <n v="0.24679166666666666"/>
    <x v="6"/>
    <n v="6029"/>
  </r>
  <r>
    <d v="2022-03-01T00:00:00"/>
    <x v="2"/>
    <x v="2"/>
    <n v="5887"/>
    <n v="36154"/>
    <n v="48000"/>
    <n v="11846"/>
    <n v="0.24679166666666666"/>
    <x v="7"/>
    <n v="0"/>
  </r>
  <r>
    <d v="2022-03-01T00:00:00"/>
    <x v="2"/>
    <x v="2"/>
    <n v="5887"/>
    <n v="36154"/>
    <n v="48000"/>
    <n v="11846"/>
    <n v="0.24679166666666666"/>
    <x v="8"/>
    <n v="3950"/>
  </r>
  <r>
    <d v="2022-03-01T00:00:00"/>
    <x v="2"/>
    <x v="2"/>
    <n v="5887"/>
    <n v="36154"/>
    <n v="48000"/>
    <n v="11846"/>
    <n v="0.24679166666666666"/>
    <x v="9"/>
    <n v="2369"/>
  </r>
  <r>
    <d v="2022-04-01T00:00:00"/>
    <x v="2"/>
    <x v="3"/>
    <n v="6437"/>
    <n v="34775"/>
    <n v="48000"/>
    <n v="13225"/>
    <n v="0.27552083333333333"/>
    <x v="0"/>
    <n v="6911"/>
  </r>
  <r>
    <d v="2022-04-01T00:00:00"/>
    <x v="2"/>
    <x v="3"/>
    <n v="6437"/>
    <n v="34775"/>
    <n v="48000"/>
    <n v="13225"/>
    <n v="0.27552083333333333"/>
    <x v="1"/>
    <n v="10000"/>
  </r>
  <r>
    <d v="2022-04-01T00:00:00"/>
    <x v="2"/>
    <x v="3"/>
    <n v="6437"/>
    <n v="34775"/>
    <n v="48000"/>
    <n v="13225"/>
    <n v="0.27552083333333333"/>
    <x v="2"/>
    <n v="2428"/>
  </r>
  <r>
    <d v="2022-04-01T00:00:00"/>
    <x v="2"/>
    <x v="3"/>
    <n v="6437"/>
    <n v="34775"/>
    <n v="48000"/>
    <n v="13225"/>
    <n v="0.27552083333333333"/>
    <x v="3"/>
    <n v="1123"/>
  </r>
  <r>
    <d v="2022-04-01T00:00:00"/>
    <x v="2"/>
    <x v="3"/>
    <n v="6437"/>
    <n v="34775"/>
    <n v="48000"/>
    <n v="13225"/>
    <n v="0.27552083333333333"/>
    <x v="4"/>
    <n v="2139"/>
  </r>
  <r>
    <d v="2022-04-01T00:00:00"/>
    <x v="2"/>
    <x v="3"/>
    <n v="6437"/>
    <n v="34775"/>
    <n v="48000"/>
    <n v="13225"/>
    <n v="0.27552083333333333"/>
    <x v="5"/>
    <n v="1288"/>
  </r>
  <r>
    <d v="2022-04-01T00:00:00"/>
    <x v="2"/>
    <x v="3"/>
    <n v="6437"/>
    <n v="34775"/>
    <n v="48000"/>
    <n v="13225"/>
    <n v="0.27552083333333333"/>
    <x v="6"/>
    <n v="5130"/>
  </r>
  <r>
    <d v="2022-04-01T00:00:00"/>
    <x v="2"/>
    <x v="3"/>
    <n v="6437"/>
    <n v="34775"/>
    <n v="48000"/>
    <n v="13225"/>
    <n v="0.27552083333333333"/>
    <x v="7"/>
    <n v="0"/>
  </r>
  <r>
    <d v="2022-04-01T00:00:00"/>
    <x v="2"/>
    <x v="3"/>
    <n v="6437"/>
    <n v="34775"/>
    <n v="48000"/>
    <n v="13225"/>
    <n v="0.27552083333333333"/>
    <x v="8"/>
    <n v="3885"/>
  </r>
  <r>
    <d v="2022-04-01T00:00:00"/>
    <x v="2"/>
    <x v="3"/>
    <n v="6437"/>
    <n v="34775"/>
    <n v="48000"/>
    <n v="13225"/>
    <n v="0.27552083333333333"/>
    <x v="9"/>
    <n v="1871"/>
  </r>
  <r>
    <d v="2022-05-01T00:00:00"/>
    <x v="2"/>
    <x v="4"/>
    <n v="8722"/>
    <n v="34161"/>
    <n v="48000"/>
    <n v="13839"/>
    <n v="0.28831250000000003"/>
    <x v="0"/>
    <n v="6520"/>
  </r>
  <r>
    <d v="2022-05-01T00:00:00"/>
    <x v="2"/>
    <x v="4"/>
    <n v="8722"/>
    <n v="34161"/>
    <n v="48000"/>
    <n v="13839"/>
    <n v="0.28831250000000003"/>
    <x v="1"/>
    <n v="10000"/>
  </r>
  <r>
    <d v="2022-05-01T00:00:00"/>
    <x v="2"/>
    <x v="4"/>
    <n v="8722"/>
    <n v="34161"/>
    <n v="48000"/>
    <n v="13839"/>
    <n v="0.28831250000000003"/>
    <x v="2"/>
    <n v="2938"/>
  </r>
  <r>
    <d v="2022-05-01T00:00:00"/>
    <x v="2"/>
    <x v="4"/>
    <n v="8722"/>
    <n v="34161"/>
    <n v="48000"/>
    <n v="13839"/>
    <n v="0.28831250000000003"/>
    <x v="3"/>
    <n v="1177"/>
  </r>
  <r>
    <d v="2022-05-01T00:00:00"/>
    <x v="2"/>
    <x v="4"/>
    <n v="8722"/>
    <n v="34161"/>
    <n v="48000"/>
    <n v="13839"/>
    <n v="0.28831250000000003"/>
    <x v="4"/>
    <n v="1797"/>
  </r>
  <r>
    <d v="2022-05-01T00:00:00"/>
    <x v="2"/>
    <x v="4"/>
    <n v="8722"/>
    <n v="34161"/>
    <n v="48000"/>
    <n v="13839"/>
    <n v="0.28831250000000003"/>
    <x v="5"/>
    <n v="950"/>
  </r>
  <r>
    <d v="2022-05-01T00:00:00"/>
    <x v="2"/>
    <x v="4"/>
    <n v="8722"/>
    <n v="34161"/>
    <n v="48000"/>
    <n v="13839"/>
    <n v="0.28831250000000003"/>
    <x v="6"/>
    <n v="6383"/>
  </r>
  <r>
    <d v="2022-05-01T00:00:00"/>
    <x v="2"/>
    <x v="4"/>
    <n v="8722"/>
    <n v="34161"/>
    <n v="48000"/>
    <n v="13839"/>
    <n v="0.28831250000000003"/>
    <x v="7"/>
    <n v="0"/>
  </r>
  <r>
    <d v="2022-05-01T00:00:00"/>
    <x v="2"/>
    <x v="4"/>
    <n v="8722"/>
    <n v="34161"/>
    <n v="48000"/>
    <n v="13839"/>
    <n v="0.28831250000000003"/>
    <x v="8"/>
    <n v="3134"/>
  </r>
  <r>
    <d v="2022-05-01T00:00:00"/>
    <x v="2"/>
    <x v="4"/>
    <n v="8722"/>
    <n v="34161"/>
    <n v="48000"/>
    <n v="13839"/>
    <n v="0.28831250000000003"/>
    <x v="9"/>
    <n v="1262"/>
  </r>
  <r>
    <d v="2022-06-01T00:00:00"/>
    <x v="2"/>
    <x v="5"/>
    <n v="9036"/>
    <n v="33699"/>
    <n v="48000"/>
    <n v="14301"/>
    <n v="0.29793750000000002"/>
    <x v="0"/>
    <n v="5016"/>
  </r>
  <r>
    <d v="2022-06-01T00:00:00"/>
    <x v="2"/>
    <x v="5"/>
    <n v="9036"/>
    <n v="33699"/>
    <n v="48000"/>
    <n v="14301"/>
    <n v="0.29793750000000002"/>
    <x v="1"/>
    <n v="10000"/>
  </r>
  <r>
    <d v="2022-06-01T00:00:00"/>
    <x v="2"/>
    <x v="5"/>
    <n v="9036"/>
    <n v="33699"/>
    <n v="48000"/>
    <n v="14301"/>
    <n v="0.29793750000000002"/>
    <x v="2"/>
    <n v="1501"/>
  </r>
  <r>
    <d v="2022-06-01T00:00:00"/>
    <x v="2"/>
    <x v="5"/>
    <n v="9036"/>
    <n v="33699"/>
    <n v="48000"/>
    <n v="14301"/>
    <n v="0.29793750000000002"/>
    <x v="3"/>
    <n v="1084"/>
  </r>
  <r>
    <d v="2022-06-01T00:00:00"/>
    <x v="2"/>
    <x v="5"/>
    <n v="9036"/>
    <n v="33699"/>
    <n v="48000"/>
    <n v="14301"/>
    <n v="0.29793750000000002"/>
    <x v="4"/>
    <n v="1803"/>
  </r>
  <r>
    <d v="2022-06-01T00:00:00"/>
    <x v="2"/>
    <x v="5"/>
    <n v="9036"/>
    <n v="33699"/>
    <n v="48000"/>
    <n v="14301"/>
    <n v="0.29793750000000002"/>
    <x v="5"/>
    <n v="1680"/>
  </r>
  <r>
    <d v="2022-06-01T00:00:00"/>
    <x v="2"/>
    <x v="5"/>
    <n v="9036"/>
    <n v="33699"/>
    <n v="48000"/>
    <n v="14301"/>
    <n v="0.29793750000000002"/>
    <x v="6"/>
    <n v="6139"/>
  </r>
  <r>
    <d v="2022-06-01T00:00:00"/>
    <x v="2"/>
    <x v="5"/>
    <n v="9036"/>
    <n v="33699"/>
    <n v="48000"/>
    <n v="14301"/>
    <n v="0.29793750000000002"/>
    <x v="7"/>
    <n v="0"/>
  </r>
  <r>
    <d v="2022-06-01T00:00:00"/>
    <x v="2"/>
    <x v="5"/>
    <n v="9036"/>
    <n v="33699"/>
    <n v="48000"/>
    <n v="14301"/>
    <n v="0.29793750000000002"/>
    <x v="8"/>
    <n v="3801"/>
  </r>
  <r>
    <d v="2022-06-01T00:00:00"/>
    <x v="2"/>
    <x v="5"/>
    <n v="9036"/>
    <n v="33699"/>
    <n v="48000"/>
    <n v="14301"/>
    <n v="0.29793750000000002"/>
    <x v="9"/>
    <n v="2675"/>
  </r>
  <r>
    <d v="2022-07-01T00:00:00"/>
    <x v="2"/>
    <x v="6"/>
    <n v="8543"/>
    <n v="34856"/>
    <n v="48000"/>
    <n v="13144"/>
    <n v="0.27383333333333332"/>
    <x v="0"/>
    <n v="6056"/>
  </r>
  <r>
    <d v="2022-07-01T00:00:00"/>
    <x v="2"/>
    <x v="6"/>
    <n v="8543"/>
    <n v="34856"/>
    <n v="48000"/>
    <n v="13144"/>
    <n v="0.27383333333333332"/>
    <x v="1"/>
    <n v="10000"/>
  </r>
  <r>
    <d v="2022-07-01T00:00:00"/>
    <x v="2"/>
    <x v="6"/>
    <n v="8543"/>
    <n v="34856"/>
    <n v="48000"/>
    <n v="13144"/>
    <n v="0.27383333333333332"/>
    <x v="2"/>
    <n v="3182"/>
  </r>
  <r>
    <d v="2022-07-01T00:00:00"/>
    <x v="2"/>
    <x v="6"/>
    <n v="8543"/>
    <n v="34856"/>
    <n v="48000"/>
    <n v="13144"/>
    <n v="0.27383333333333332"/>
    <x v="3"/>
    <n v="1003"/>
  </r>
  <r>
    <d v="2022-07-01T00:00:00"/>
    <x v="2"/>
    <x v="6"/>
    <n v="8543"/>
    <n v="34856"/>
    <n v="48000"/>
    <n v="13144"/>
    <n v="0.27383333333333332"/>
    <x v="4"/>
    <n v="1707"/>
  </r>
  <r>
    <d v="2022-07-01T00:00:00"/>
    <x v="2"/>
    <x v="6"/>
    <n v="8543"/>
    <n v="34856"/>
    <n v="48000"/>
    <n v="13144"/>
    <n v="0.27383333333333332"/>
    <x v="5"/>
    <n v="1922"/>
  </r>
  <r>
    <d v="2022-07-01T00:00:00"/>
    <x v="2"/>
    <x v="6"/>
    <n v="8543"/>
    <n v="34856"/>
    <n v="48000"/>
    <n v="13144"/>
    <n v="0.27383333333333332"/>
    <x v="6"/>
    <n v="6929"/>
  </r>
  <r>
    <d v="2022-07-01T00:00:00"/>
    <x v="2"/>
    <x v="6"/>
    <n v="8543"/>
    <n v="34856"/>
    <n v="48000"/>
    <n v="13144"/>
    <n v="0.27383333333333332"/>
    <x v="7"/>
    <n v="0"/>
  </r>
  <r>
    <d v="2022-07-01T00:00:00"/>
    <x v="2"/>
    <x v="6"/>
    <n v="8543"/>
    <n v="34856"/>
    <n v="48000"/>
    <n v="13144"/>
    <n v="0.27383333333333332"/>
    <x v="8"/>
    <n v="2654"/>
  </r>
  <r>
    <d v="2022-07-01T00:00:00"/>
    <x v="2"/>
    <x v="6"/>
    <n v="8543"/>
    <n v="34856"/>
    <n v="48000"/>
    <n v="13144"/>
    <n v="0.27383333333333332"/>
    <x v="9"/>
    <n v="1403"/>
  </r>
  <r>
    <d v="2022-08-01T00:00:00"/>
    <x v="2"/>
    <x v="7"/>
    <n v="4844"/>
    <n v="32538"/>
    <n v="48000"/>
    <n v="15462"/>
    <n v="0.32212499999999999"/>
    <x v="0"/>
    <n v="4627"/>
  </r>
  <r>
    <d v="2022-08-01T00:00:00"/>
    <x v="2"/>
    <x v="7"/>
    <n v="4844"/>
    <n v="32538"/>
    <n v="48000"/>
    <n v="15462"/>
    <n v="0.32212499999999999"/>
    <x v="1"/>
    <n v="10000"/>
  </r>
  <r>
    <d v="2022-08-01T00:00:00"/>
    <x v="2"/>
    <x v="7"/>
    <n v="4844"/>
    <n v="32538"/>
    <n v="48000"/>
    <n v="15462"/>
    <n v="0.32212499999999999"/>
    <x v="2"/>
    <n v="3148"/>
  </r>
  <r>
    <d v="2022-08-01T00:00:00"/>
    <x v="2"/>
    <x v="7"/>
    <n v="4844"/>
    <n v="32538"/>
    <n v="48000"/>
    <n v="15462"/>
    <n v="0.32212499999999999"/>
    <x v="3"/>
    <n v="1155"/>
  </r>
  <r>
    <d v="2022-08-01T00:00:00"/>
    <x v="2"/>
    <x v="7"/>
    <n v="4844"/>
    <n v="32538"/>
    <n v="48000"/>
    <n v="15462"/>
    <n v="0.32212499999999999"/>
    <x v="4"/>
    <n v="1919"/>
  </r>
  <r>
    <d v="2022-08-01T00:00:00"/>
    <x v="2"/>
    <x v="7"/>
    <n v="4844"/>
    <n v="32538"/>
    <n v="48000"/>
    <n v="15462"/>
    <n v="0.32212499999999999"/>
    <x v="5"/>
    <n v="1386"/>
  </r>
  <r>
    <d v="2022-08-01T00:00:00"/>
    <x v="2"/>
    <x v="7"/>
    <n v="4844"/>
    <n v="32538"/>
    <n v="48000"/>
    <n v="15462"/>
    <n v="0.32212499999999999"/>
    <x v="6"/>
    <n v="6255"/>
  </r>
  <r>
    <d v="2022-08-01T00:00:00"/>
    <x v="2"/>
    <x v="7"/>
    <n v="4844"/>
    <n v="32538"/>
    <n v="48000"/>
    <n v="15462"/>
    <n v="0.32212499999999999"/>
    <x v="7"/>
    <n v="0"/>
  </r>
  <r>
    <d v="2022-08-01T00:00:00"/>
    <x v="2"/>
    <x v="7"/>
    <n v="4844"/>
    <n v="32538"/>
    <n v="48000"/>
    <n v="15462"/>
    <n v="0.32212499999999999"/>
    <x v="8"/>
    <n v="2945"/>
  </r>
  <r>
    <d v="2022-08-01T00:00:00"/>
    <x v="2"/>
    <x v="7"/>
    <n v="4844"/>
    <n v="32538"/>
    <n v="48000"/>
    <n v="15462"/>
    <n v="0.32212499999999999"/>
    <x v="9"/>
    <n v="1103"/>
  </r>
  <r>
    <d v="2022-09-01T00:00:00"/>
    <x v="2"/>
    <x v="8"/>
    <n v="8121"/>
    <n v="33980"/>
    <n v="48000"/>
    <n v="14020"/>
    <n v="0.29208333333333331"/>
    <x v="0"/>
    <n v="6557"/>
  </r>
  <r>
    <d v="2022-09-01T00:00:00"/>
    <x v="2"/>
    <x v="8"/>
    <n v="8121"/>
    <n v="33980"/>
    <n v="48000"/>
    <n v="14020"/>
    <n v="0.29208333333333331"/>
    <x v="1"/>
    <n v="10000"/>
  </r>
  <r>
    <d v="2022-09-01T00:00:00"/>
    <x v="2"/>
    <x v="8"/>
    <n v="8121"/>
    <n v="33980"/>
    <n v="48000"/>
    <n v="14020"/>
    <n v="0.29208333333333331"/>
    <x v="2"/>
    <n v="1652"/>
  </r>
  <r>
    <d v="2022-09-01T00:00:00"/>
    <x v="2"/>
    <x v="8"/>
    <n v="8121"/>
    <n v="33980"/>
    <n v="48000"/>
    <n v="14020"/>
    <n v="0.29208333333333331"/>
    <x v="3"/>
    <n v="1048"/>
  </r>
  <r>
    <d v="2022-09-01T00:00:00"/>
    <x v="2"/>
    <x v="8"/>
    <n v="8121"/>
    <n v="33980"/>
    <n v="48000"/>
    <n v="14020"/>
    <n v="0.29208333333333331"/>
    <x v="4"/>
    <n v="2413"/>
  </r>
  <r>
    <d v="2022-09-01T00:00:00"/>
    <x v="2"/>
    <x v="8"/>
    <n v="8121"/>
    <n v="33980"/>
    <n v="48000"/>
    <n v="14020"/>
    <n v="0.29208333333333331"/>
    <x v="5"/>
    <n v="898"/>
  </r>
  <r>
    <d v="2022-09-01T00:00:00"/>
    <x v="2"/>
    <x v="8"/>
    <n v="8121"/>
    <n v="33980"/>
    <n v="48000"/>
    <n v="14020"/>
    <n v="0.29208333333333331"/>
    <x v="6"/>
    <n v="6116"/>
  </r>
  <r>
    <d v="2022-09-01T00:00:00"/>
    <x v="2"/>
    <x v="8"/>
    <n v="8121"/>
    <n v="33980"/>
    <n v="48000"/>
    <n v="14020"/>
    <n v="0.29208333333333331"/>
    <x v="7"/>
    <n v="0"/>
  </r>
  <r>
    <d v="2022-09-01T00:00:00"/>
    <x v="2"/>
    <x v="8"/>
    <n v="8121"/>
    <n v="33980"/>
    <n v="48000"/>
    <n v="14020"/>
    <n v="0.29208333333333331"/>
    <x v="8"/>
    <n v="3419"/>
  </r>
  <r>
    <d v="2022-09-01T00:00:00"/>
    <x v="2"/>
    <x v="8"/>
    <n v="8121"/>
    <n v="33980"/>
    <n v="48000"/>
    <n v="14020"/>
    <n v="0.29208333333333331"/>
    <x v="9"/>
    <n v="1877"/>
  </r>
  <r>
    <d v="2022-10-01T00:00:00"/>
    <x v="2"/>
    <x v="9"/>
    <n v="7918"/>
    <n v="33110"/>
    <n v="48000"/>
    <n v="14890"/>
    <n v="0.31020833333333331"/>
    <x v="0"/>
    <n v="4956"/>
  </r>
  <r>
    <d v="2022-10-01T00:00:00"/>
    <x v="2"/>
    <x v="9"/>
    <n v="7918"/>
    <n v="33110"/>
    <n v="48000"/>
    <n v="14890"/>
    <n v="0.31020833333333331"/>
    <x v="1"/>
    <n v="10000"/>
  </r>
  <r>
    <d v="2022-10-01T00:00:00"/>
    <x v="2"/>
    <x v="9"/>
    <n v="7918"/>
    <n v="33110"/>
    <n v="48000"/>
    <n v="14890"/>
    <n v="0.31020833333333331"/>
    <x v="2"/>
    <n v="3103"/>
  </r>
  <r>
    <d v="2022-10-01T00:00:00"/>
    <x v="2"/>
    <x v="9"/>
    <n v="7918"/>
    <n v="33110"/>
    <n v="48000"/>
    <n v="14890"/>
    <n v="0.31020833333333331"/>
    <x v="3"/>
    <n v="988"/>
  </r>
  <r>
    <d v="2022-10-01T00:00:00"/>
    <x v="2"/>
    <x v="9"/>
    <n v="7918"/>
    <n v="33110"/>
    <n v="48000"/>
    <n v="14890"/>
    <n v="0.31020833333333331"/>
    <x v="4"/>
    <n v="1897"/>
  </r>
  <r>
    <d v="2022-10-01T00:00:00"/>
    <x v="2"/>
    <x v="9"/>
    <n v="7918"/>
    <n v="33110"/>
    <n v="48000"/>
    <n v="14890"/>
    <n v="0.31020833333333331"/>
    <x v="5"/>
    <n v="960"/>
  </r>
  <r>
    <d v="2022-10-01T00:00:00"/>
    <x v="2"/>
    <x v="9"/>
    <n v="7918"/>
    <n v="33110"/>
    <n v="48000"/>
    <n v="14890"/>
    <n v="0.31020833333333331"/>
    <x v="6"/>
    <n v="6591"/>
  </r>
  <r>
    <d v="2022-10-01T00:00:00"/>
    <x v="2"/>
    <x v="9"/>
    <n v="7918"/>
    <n v="33110"/>
    <n v="48000"/>
    <n v="14890"/>
    <n v="0.31020833333333331"/>
    <x v="7"/>
    <n v="0"/>
  </r>
  <r>
    <d v="2022-10-01T00:00:00"/>
    <x v="2"/>
    <x v="9"/>
    <n v="7918"/>
    <n v="33110"/>
    <n v="48000"/>
    <n v="14890"/>
    <n v="0.31020833333333331"/>
    <x v="8"/>
    <n v="2800"/>
  </r>
  <r>
    <d v="2022-10-01T00:00:00"/>
    <x v="2"/>
    <x v="9"/>
    <n v="7918"/>
    <n v="33110"/>
    <n v="48000"/>
    <n v="14890"/>
    <n v="0.31020833333333331"/>
    <x v="9"/>
    <n v="1815"/>
  </r>
  <r>
    <d v="2022-11-01T00:00:00"/>
    <x v="2"/>
    <x v="10"/>
    <n v="6072"/>
    <n v="31011"/>
    <n v="48000"/>
    <n v="16989"/>
    <n v="0.35393750000000002"/>
    <x v="0"/>
    <n v="5158"/>
  </r>
  <r>
    <d v="2022-11-01T00:00:00"/>
    <x v="2"/>
    <x v="10"/>
    <n v="6072"/>
    <n v="31011"/>
    <n v="48000"/>
    <n v="16989"/>
    <n v="0.35393750000000002"/>
    <x v="1"/>
    <n v="10000"/>
  </r>
  <r>
    <d v="2022-11-01T00:00:00"/>
    <x v="2"/>
    <x v="10"/>
    <n v="6072"/>
    <n v="31011"/>
    <n v="48000"/>
    <n v="16989"/>
    <n v="0.35393750000000002"/>
    <x v="2"/>
    <n v="2139"/>
  </r>
  <r>
    <d v="2022-11-01T00:00:00"/>
    <x v="2"/>
    <x v="10"/>
    <n v="6072"/>
    <n v="31011"/>
    <n v="48000"/>
    <n v="16989"/>
    <n v="0.35393750000000002"/>
    <x v="3"/>
    <n v="732"/>
  </r>
  <r>
    <d v="2022-11-01T00:00:00"/>
    <x v="2"/>
    <x v="10"/>
    <n v="6072"/>
    <n v="31011"/>
    <n v="48000"/>
    <n v="16989"/>
    <n v="0.35393750000000002"/>
    <x v="4"/>
    <n v="2187"/>
  </r>
  <r>
    <d v="2022-11-01T00:00:00"/>
    <x v="2"/>
    <x v="10"/>
    <n v="6072"/>
    <n v="31011"/>
    <n v="48000"/>
    <n v="16989"/>
    <n v="0.35393750000000002"/>
    <x v="5"/>
    <n v="1200"/>
  </r>
  <r>
    <d v="2022-11-01T00:00:00"/>
    <x v="2"/>
    <x v="10"/>
    <n v="6072"/>
    <n v="31011"/>
    <n v="48000"/>
    <n v="16989"/>
    <n v="0.35393750000000002"/>
    <x v="6"/>
    <n v="5682"/>
  </r>
  <r>
    <d v="2022-11-01T00:00:00"/>
    <x v="2"/>
    <x v="10"/>
    <n v="6072"/>
    <n v="31011"/>
    <n v="48000"/>
    <n v="16989"/>
    <n v="0.35393750000000002"/>
    <x v="7"/>
    <n v="0"/>
  </r>
  <r>
    <d v="2022-11-01T00:00:00"/>
    <x v="2"/>
    <x v="10"/>
    <n v="6072"/>
    <n v="31011"/>
    <n v="48000"/>
    <n v="16989"/>
    <n v="0.35393750000000002"/>
    <x v="8"/>
    <n v="1959"/>
  </r>
  <r>
    <d v="2022-11-01T00:00:00"/>
    <x v="2"/>
    <x v="10"/>
    <n v="6072"/>
    <n v="31011"/>
    <n v="48000"/>
    <n v="16989"/>
    <n v="0.35393750000000002"/>
    <x v="9"/>
    <n v="1954"/>
  </r>
  <r>
    <d v="2022-12-01T00:00:00"/>
    <x v="2"/>
    <x v="11"/>
    <n v="8615"/>
    <n v="35587"/>
    <n v="48000"/>
    <n v="12413"/>
    <n v="0.25860416666666669"/>
    <x v="0"/>
    <n v="6797"/>
  </r>
  <r>
    <d v="2022-12-01T00:00:00"/>
    <x v="2"/>
    <x v="11"/>
    <n v="8615"/>
    <n v="35587"/>
    <n v="48000"/>
    <n v="12413"/>
    <n v="0.25860416666666669"/>
    <x v="1"/>
    <n v="10000"/>
  </r>
  <r>
    <d v="2022-12-01T00:00:00"/>
    <x v="2"/>
    <x v="11"/>
    <n v="8615"/>
    <n v="35587"/>
    <n v="48000"/>
    <n v="12413"/>
    <n v="0.25860416666666669"/>
    <x v="2"/>
    <n v="1729"/>
  </r>
  <r>
    <d v="2022-12-01T00:00:00"/>
    <x v="2"/>
    <x v="11"/>
    <n v="8615"/>
    <n v="35587"/>
    <n v="48000"/>
    <n v="12413"/>
    <n v="0.25860416666666669"/>
    <x v="3"/>
    <n v="1064"/>
  </r>
  <r>
    <d v="2022-12-01T00:00:00"/>
    <x v="2"/>
    <x v="11"/>
    <n v="8615"/>
    <n v="35587"/>
    <n v="48000"/>
    <n v="12413"/>
    <n v="0.25860416666666669"/>
    <x v="4"/>
    <n v="2062"/>
  </r>
  <r>
    <d v="2022-12-01T00:00:00"/>
    <x v="2"/>
    <x v="11"/>
    <n v="8615"/>
    <n v="35587"/>
    <n v="48000"/>
    <n v="12413"/>
    <n v="0.25860416666666669"/>
    <x v="5"/>
    <n v="837"/>
  </r>
  <r>
    <d v="2022-12-01T00:00:00"/>
    <x v="2"/>
    <x v="11"/>
    <n v="8615"/>
    <n v="35587"/>
    <n v="48000"/>
    <n v="12413"/>
    <n v="0.25860416666666669"/>
    <x v="6"/>
    <n v="6314"/>
  </r>
  <r>
    <d v="2022-12-01T00:00:00"/>
    <x v="2"/>
    <x v="11"/>
    <n v="8615"/>
    <n v="35587"/>
    <n v="48000"/>
    <n v="12413"/>
    <n v="0.25860416666666669"/>
    <x v="7"/>
    <n v="0"/>
  </r>
  <r>
    <d v="2022-12-01T00:00:00"/>
    <x v="2"/>
    <x v="11"/>
    <n v="8615"/>
    <n v="35587"/>
    <n v="48000"/>
    <n v="12413"/>
    <n v="0.25860416666666669"/>
    <x v="8"/>
    <n v="3985"/>
  </r>
  <r>
    <d v="2022-12-01T00:00:00"/>
    <x v="2"/>
    <x v="11"/>
    <n v="8615"/>
    <n v="35587"/>
    <n v="48000"/>
    <n v="12413"/>
    <n v="0.25860416666666669"/>
    <x v="9"/>
    <n v="2799"/>
  </r>
  <r>
    <d v="2023-01-01T00:00:00"/>
    <x v="3"/>
    <x v="0"/>
    <n v="6147"/>
    <n v="31889"/>
    <n v="48000"/>
    <n v="16111"/>
    <n v="0.33564583333333331"/>
    <x v="0"/>
    <n v="4797"/>
  </r>
  <r>
    <d v="2023-01-01T00:00:00"/>
    <x v="3"/>
    <x v="0"/>
    <n v="6147"/>
    <n v="31889"/>
    <n v="48000"/>
    <n v="16111"/>
    <n v="0.33564583333333331"/>
    <x v="1"/>
    <n v="10000"/>
  </r>
  <r>
    <d v="2023-01-01T00:00:00"/>
    <x v="3"/>
    <x v="0"/>
    <n v="6147"/>
    <n v="31889"/>
    <n v="48000"/>
    <n v="16111"/>
    <n v="0.33564583333333331"/>
    <x v="2"/>
    <n v="2378"/>
  </r>
  <r>
    <d v="2023-01-01T00:00:00"/>
    <x v="3"/>
    <x v="0"/>
    <n v="6147"/>
    <n v="31889"/>
    <n v="48000"/>
    <n v="16111"/>
    <n v="0.33564583333333331"/>
    <x v="3"/>
    <n v="1147"/>
  </r>
  <r>
    <d v="2023-01-01T00:00:00"/>
    <x v="3"/>
    <x v="0"/>
    <n v="6147"/>
    <n v="31889"/>
    <n v="48000"/>
    <n v="16111"/>
    <n v="0.33564583333333331"/>
    <x v="4"/>
    <n v="1980"/>
  </r>
  <r>
    <d v="2023-01-01T00:00:00"/>
    <x v="3"/>
    <x v="0"/>
    <n v="6147"/>
    <n v="31889"/>
    <n v="48000"/>
    <n v="16111"/>
    <n v="0.33564583333333331"/>
    <x v="5"/>
    <n v="1083"/>
  </r>
  <r>
    <d v="2023-01-01T00:00:00"/>
    <x v="3"/>
    <x v="0"/>
    <n v="6147"/>
    <n v="31889"/>
    <n v="48000"/>
    <n v="16111"/>
    <n v="0.33564583333333331"/>
    <x v="6"/>
    <n v="6533"/>
  </r>
  <r>
    <d v="2023-01-01T00:00:00"/>
    <x v="3"/>
    <x v="0"/>
    <n v="6147"/>
    <n v="31889"/>
    <n v="48000"/>
    <n v="16111"/>
    <n v="0.33564583333333331"/>
    <x v="7"/>
    <n v="0"/>
  </r>
  <r>
    <d v="2023-01-01T00:00:00"/>
    <x v="3"/>
    <x v="0"/>
    <n v="6147"/>
    <n v="31889"/>
    <n v="48000"/>
    <n v="16111"/>
    <n v="0.33564583333333331"/>
    <x v="8"/>
    <n v="1952"/>
  </r>
  <r>
    <d v="2023-01-01T00:00:00"/>
    <x v="3"/>
    <x v="0"/>
    <n v="6147"/>
    <n v="31889"/>
    <n v="48000"/>
    <n v="16111"/>
    <n v="0.33564583333333331"/>
    <x v="9"/>
    <n v="2019"/>
  </r>
  <r>
    <d v="2023-02-01T00:00:00"/>
    <x v="3"/>
    <x v="1"/>
    <n v="9191"/>
    <n v="32829"/>
    <n v="48000"/>
    <n v="15171"/>
    <n v="0.31606250000000002"/>
    <x v="0"/>
    <n v="4546"/>
  </r>
  <r>
    <d v="2023-02-01T00:00:00"/>
    <x v="3"/>
    <x v="1"/>
    <n v="9191"/>
    <n v="32829"/>
    <n v="48000"/>
    <n v="15171"/>
    <n v="0.31606250000000002"/>
    <x v="1"/>
    <n v="10000"/>
  </r>
  <r>
    <d v="2023-02-01T00:00:00"/>
    <x v="3"/>
    <x v="1"/>
    <n v="9191"/>
    <n v="32829"/>
    <n v="48000"/>
    <n v="15171"/>
    <n v="0.31606250000000002"/>
    <x v="2"/>
    <n v="3035"/>
  </r>
  <r>
    <d v="2023-02-01T00:00:00"/>
    <x v="3"/>
    <x v="1"/>
    <n v="9191"/>
    <n v="32829"/>
    <n v="48000"/>
    <n v="15171"/>
    <n v="0.31606250000000002"/>
    <x v="3"/>
    <n v="716"/>
  </r>
  <r>
    <d v="2023-02-01T00:00:00"/>
    <x v="3"/>
    <x v="1"/>
    <n v="9191"/>
    <n v="32829"/>
    <n v="48000"/>
    <n v="15171"/>
    <n v="0.31606250000000002"/>
    <x v="4"/>
    <n v="1671"/>
  </r>
  <r>
    <d v="2023-02-01T00:00:00"/>
    <x v="3"/>
    <x v="1"/>
    <n v="9191"/>
    <n v="32829"/>
    <n v="48000"/>
    <n v="15171"/>
    <n v="0.31606250000000002"/>
    <x v="5"/>
    <n v="1872"/>
  </r>
  <r>
    <d v="2023-02-01T00:00:00"/>
    <x v="3"/>
    <x v="1"/>
    <n v="9191"/>
    <n v="32829"/>
    <n v="48000"/>
    <n v="15171"/>
    <n v="0.31606250000000002"/>
    <x v="6"/>
    <n v="7089"/>
  </r>
  <r>
    <d v="2023-02-01T00:00:00"/>
    <x v="3"/>
    <x v="1"/>
    <n v="9191"/>
    <n v="32829"/>
    <n v="48000"/>
    <n v="15171"/>
    <n v="0.31606250000000002"/>
    <x v="7"/>
    <n v="0"/>
  </r>
  <r>
    <d v="2023-02-01T00:00:00"/>
    <x v="3"/>
    <x v="1"/>
    <n v="9191"/>
    <n v="32829"/>
    <n v="48000"/>
    <n v="15171"/>
    <n v="0.31606250000000002"/>
    <x v="8"/>
    <n v="2743"/>
  </r>
  <r>
    <d v="2023-02-01T00:00:00"/>
    <x v="3"/>
    <x v="1"/>
    <n v="9191"/>
    <n v="32829"/>
    <n v="48000"/>
    <n v="15171"/>
    <n v="0.31606250000000002"/>
    <x v="9"/>
    <n v="1157"/>
  </r>
  <r>
    <d v="2023-03-01T00:00:00"/>
    <x v="3"/>
    <x v="2"/>
    <n v="9505"/>
    <n v="31983"/>
    <n v="48000"/>
    <n v="16017"/>
    <n v="0.33368750000000003"/>
    <x v="0"/>
    <n v="6146"/>
  </r>
  <r>
    <d v="2023-03-01T00:00:00"/>
    <x v="3"/>
    <x v="2"/>
    <n v="9505"/>
    <n v="31983"/>
    <n v="48000"/>
    <n v="16017"/>
    <n v="0.33368750000000003"/>
    <x v="1"/>
    <n v="10000"/>
  </r>
  <r>
    <d v="2023-03-01T00:00:00"/>
    <x v="3"/>
    <x v="2"/>
    <n v="9505"/>
    <n v="31983"/>
    <n v="48000"/>
    <n v="16017"/>
    <n v="0.33368750000000003"/>
    <x v="2"/>
    <n v="1779"/>
  </r>
  <r>
    <d v="2023-03-01T00:00:00"/>
    <x v="3"/>
    <x v="2"/>
    <n v="9505"/>
    <n v="31983"/>
    <n v="48000"/>
    <n v="16017"/>
    <n v="0.33368750000000003"/>
    <x v="3"/>
    <n v="1048"/>
  </r>
  <r>
    <d v="2023-03-01T00:00:00"/>
    <x v="3"/>
    <x v="2"/>
    <n v="9505"/>
    <n v="31983"/>
    <n v="48000"/>
    <n v="16017"/>
    <n v="0.33368750000000003"/>
    <x v="4"/>
    <n v="1996"/>
  </r>
  <r>
    <d v="2023-03-01T00:00:00"/>
    <x v="3"/>
    <x v="2"/>
    <n v="9505"/>
    <n v="31983"/>
    <n v="48000"/>
    <n v="16017"/>
    <n v="0.33368750000000003"/>
    <x v="5"/>
    <n v="1860"/>
  </r>
  <r>
    <d v="2023-03-01T00:00:00"/>
    <x v="3"/>
    <x v="2"/>
    <n v="9505"/>
    <n v="31983"/>
    <n v="48000"/>
    <n v="16017"/>
    <n v="0.33368750000000003"/>
    <x v="6"/>
    <n v="6173"/>
  </r>
  <r>
    <d v="2023-03-01T00:00:00"/>
    <x v="3"/>
    <x v="2"/>
    <n v="9505"/>
    <n v="31983"/>
    <n v="48000"/>
    <n v="16017"/>
    <n v="0.33368750000000003"/>
    <x v="7"/>
    <n v="0"/>
  </r>
  <r>
    <d v="2023-03-01T00:00:00"/>
    <x v="3"/>
    <x v="2"/>
    <n v="9505"/>
    <n v="31983"/>
    <n v="48000"/>
    <n v="16017"/>
    <n v="0.33368750000000003"/>
    <x v="8"/>
    <n v="1801"/>
  </r>
  <r>
    <d v="2023-03-01T00:00:00"/>
    <x v="3"/>
    <x v="2"/>
    <n v="9505"/>
    <n v="31983"/>
    <n v="48000"/>
    <n v="16017"/>
    <n v="0.33368750000000003"/>
    <x v="9"/>
    <n v="1180"/>
  </r>
  <r>
    <d v="2023-04-01T00:00:00"/>
    <x v="3"/>
    <x v="3"/>
    <n v="6549"/>
    <n v="33653"/>
    <n v="56000"/>
    <n v="22347"/>
    <n v="0.39905357142857145"/>
    <x v="0"/>
    <n v="5139"/>
  </r>
  <r>
    <d v="2023-04-01T00:00:00"/>
    <x v="3"/>
    <x v="3"/>
    <n v="6549"/>
    <n v="33653"/>
    <n v="56000"/>
    <n v="22347"/>
    <n v="0.39905357142857145"/>
    <x v="1"/>
    <n v="10000"/>
  </r>
  <r>
    <d v="2023-04-01T00:00:00"/>
    <x v="3"/>
    <x v="3"/>
    <n v="6549"/>
    <n v="33653"/>
    <n v="56000"/>
    <n v="22347"/>
    <n v="0.39905357142857145"/>
    <x v="2"/>
    <n v="1752"/>
  </r>
  <r>
    <d v="2023-04-01T00:00:00"/>
    <x v="3"/>
    <x v="3"/>
    <n v="6549"/>
    <n v="33653"/>
    <n v="56000"/>
    <n v="22347"/>
    <n v="0.39905357142857145"/>
    <x v="3"/>
    <n v="1168"/>
  </r>
  <r>
    <d v="2023-04-01T00:00:00"/>
    <x v="3"/>
    <x v="3"/>
    <n v="6549"/>
    <n v="33653"/>
    <n v="56000"/>
    <n v="22347"/>
    <n v="0.39905357142857145"/>
    <x v="4"/>
    <n v="2427"/>
  </r>
  <r>
    <d v="2023-04-01T00:00:00"/>
    <x v="3"/>
    <x v="3"/>
    <n v="6549"/>
    <n v="33653"/>
    <n v="56000"/>
    <n v="22347"/>
    <n v="0.39905357142857145"/>
    <x v="5"/>
    <n v="990"/>
  </r>
  <r>
    <d v="2023-04-01T00:00:00"/>
    <x v="3"/>
    <x v="3"/>
    <n v="6549"/>
    <n v="33653"/>
    <n v="56000"/>
    <n v="22347"/>
    <n v="0.39905357142857145"/>
    <x v="6"/>
    <n v="6487"/>
  </r>
  <r>
    <d v="2023-04-01T00:00:00"/>
    <x v="3"/>
    <x v="3"/>
    <n v="6549"/>
    <n v="33653"/>
    <n v="56000"/>
    <n v="22347"/>
    <n v="0.39905357142857145"/>
    <x v="7"/>
    <n v="0"/>
  </r>
  <r>
    <d v="2023-04-01T00:00:00"/>
    <x v="3"/>
    <x v="3"/>
    <n v="6549"/>
    <n v="33653"/>
    <n v="56000"/>
    <n v="22347"/>
    <n v="0.39905357142857145"/>
    <x v="8"/>
    <n v="3506"/>
  </r>
  <r>
    <d v="2023-04-01T00:00:00"/>
    <x v="3"/>
    <x v="3"/>
    <n v="6549"/>
    <n v="33653"/>
    <n v="56000"/>
    <n v="22347"/>
    <n v="0.39905357142857145"/>
    <x v="9"/>
    <n v="2184"/>
  </r>
  <r>
    <d v="2023-05-01T00:00:00"/>
    <x v="3"/>
    <x v="4"/>
    <n v="7608"/>
    <n v="34558"/>
    <n v="56000"/>
    <n v="21442"/>
    <n v="0.38289285714285715"/>
    <x v="0"/>
    <n v="5816"/>
  </r>
  <r>
    <d v="2023-05-01T00:00:00"/>
    <x v="3"/>
    <x v="4"/>
    <n v="7608"/>
    <n v="34558"/>
    <n v="56000"/>
    <n v="21442"/>
    <n v="0.38289285714285715"/>
    <x v="1"/>
    <n v="10000"/>
  </r>
  <r>
    <d v="2023-05-01T00:00:00"/>
    <x v="3"/>
    <x v="4"/>
    <n v="7608"/>
    <n v="34558"/>
    <n v="56000"/>
    <n v="21442"/>
    <n v="0.38289285714285715"/>
    <x v="2"/>
    <n v="2069"/>
  </r>
  <r>
    <d v="2023-05-01T00:00:00"/>
    <x v="3"/>
    <x v="4"/>
    <n v="7608"/>
    <n v="34558"/>
    <n v="56000"/>
    <n v="21442"/>
    <n v="0.38289285714285715"/>
    <x v="3"/>
    <n v="1022"/>
  </r>
  <r>
    <d v="2023-05-01T00:00:00"/>
    <x v="3"/>
    <x v="4"/>
    <n v="7608"/>
    <n v="34558"/>
    <n v="56000"/>
    <n v="21442"/>
    <n v="0.38289285714285715"/>
    <x v="4"/>
    <n v="2371"/>
  </r>
  <r>
    <d v="2023-05-01T00:00:00"/>
    <x v="3"/>
    <x v="4"/>
    <n v="7608"/>
    <n v="34558"/>
    <n v="56000"/>
    <n v="21442"/>
    <n v="0.38289285714285715"/>
    <x v="5"/>
    <n v="1365"/>
  </r>
  <r>
    <d v="2023-05-01T00:00:00"/>
    <x v="3"/>
    <x v="4"/>
    <n v="7608"/>
    <n v="34558"/>
    <n v="56000"/>
    <n v="21442"/>
    <n v="0.38289285714285715"/>
    <x v="6"/>
    <n v="7479"/>
  </r>
  <r>
    <d v="2023-05-01T00:00:00"/>
    <x v="3"/>
    <x v="4"/>
    <n v="7608"/>
    <n v="34558"/>
    <n v="56000"/>
    <n v="21442"/>
    <n v="0.38289285714285715"/>
    <x v="7"/>
    <n v="0"/>
  </r>
  <r>
    <d v="2023-05-01T00:00:00"/>
    <x v="3"/>
    <x v="4"/>
    <n v="7608"/>
    <n v="34558"/>
    <n v="56000"/>
    <n v="21442"/>
    <n v="0.38289285714285715"/>
    <x v="8"/>
    <n v="2125"/>
  </r>
  <r>
    <d v="2023-05-01T00:00:00"/>
    <x v="3"/>
    <x v="4"/>
    <n v="7608"/>
    <n v="34558"/>
    <n v="56000"/>
    <n v="21442"/>
    <n v="0.38289285714285715"/>
    <x v="9"/>
    <n v="2311"/>
  </r>
  <r>
    <d v="2023-06-01T00:00:00"/>
    <x v="3"/>
    <x v="5"/>
    <n v="7260"/>
    <n v="32900"/>
    <n v="56000"/>
    <n v="23100"/>
    <n v="0.41249999999999998"/>
    <x v="0"/>
    <n v="4154"/>
  </r>
  <r>
    <d v="2023-06-01T00:00:00"/>
    <x v="3"/>
    <x v="5"/>
    <n v="7260"/>
    <n v="32900"/>
    <n v="56000"/>
    <n v="23100"/>
    <n v="0.41249999999999998"/>
    <x v="1"/>
    <n v="10000"/>
  </r>
  <r>
    <d v="2023-06-01T00:00:00"/>
    <x v="3"/>
    <x v="5"/>
    <n v="7260"/>
    <n v="32900"/>
    <n v="56000"/>
    <n v="23100"/>
    <n v="0.41249999999999998"/>
    <x v="2"/>
    <n v="2909"/>
  </r>
  <r>
    <d v="2023-06-01T00:00:00"/>
    <x v="3"/>
    <x v="5"/>
    <n v="7260"/>
    <n v="32900"/>
    <n v="56000"/>
    <n v="23100"/>
    <n v="0.41249999999999998"/>
    <x v="3"/>
    <n v="1173"/>
  </r>
  <r>
    <d v="2023-06-01T00:00:00"/>
    <x v="3"/>
    <x v="5"/>
    <n v="7260"/>
    <n v="32900"/>
    <n v="56000"/>
    <n v="23100"/>
    <n v="0.41249999999999998"/>
    <x v="4"/>
    <n v="2284"/>
  </r>
  <r>
    <d v="2023-06-01T00:00:00"/>
    <x v="3"/>
    <x v="5"/>
    <n v="7260"/>
    <n v="32900"/>
    <n v="56000"/>
    <n v="23100"/>
    <n v="0.41249999999999998"/>
    <x v="5"/>
    <n v="1289"/>
  </r>
  <r>
    <d v="2023-06-01T00:00:00"/>
    <x v="3"/>
    <x v="5"/>
    <n v="7260"/>
    <n v="32900"/>
    <n v="56000"/>
    <n v="23100"/>
    <n v="0.41249999999999998"/>
    <x v="6"/>
    <n v="7147"/>
  </r>
  <r>
    <d v="2023-06-01T00:00:00"/>
    <x v="3"/>
    <x v="5"/>
    <n v="7260"/>
    <n v="32900"/>
    <n v="56000"/>
    <n v="23100"/>
    <n v="0.41249999999999998"/>
    <x v="7"/>
    <n v="0"/>
  </r>
  <r>
    <d v="2023-06-01T00:00:00"/>
    <x v="3"/>
    <x v="5"/>
    <n v="7260"/>
    <n v="32900"/>
    <n v="56000"/>
    <n v="23100"/>
    <n v="0.41249999999999998"/>
    <x v="8"/>
    <n v="1745"/>
  </r>
  <r>
    <d v="2023-06-01T00:00:00"/>
    <x v="3"/>
    <x v="5"/>
    <n v="7260"/>
    <n v="32900"/>
    <n v="56000"/>
    <n v="23100"/>
    <n v="0.41249999999999998"/>
    <x v="9"/>
    <n v="2199"/>
  </r>
  <r>
    <d v="2023-07-01T00:00:00"/>
    <x v="3"/>
    <x v="6"/>
    <n v="10070"/>
    <n v="33138"/>
    <n v="56000"/>
    <n v="22862"/>
    <n v="0.40825"/>
    <x v="0"/>
    <n v="4537"/>
  </r>
  <r>
    <d v="2023-07-01T00:00:00"/>
    <x v="3"/>
    <x v="6"/>
    <n v="10070"/>
    <n v="33138"/>
    <n v="56000"/>
    <n v="22862"/>
    <n v="0.40825"/>
    <x v="1"/>
    <n v="10000"/>
  </r>
  <r>
    <d v="2023-07-01T00:00:00"/>
    <x v="3"/>
    <x v="6"/>
    <n v="10070"/>
    <n v="33138"/>
    <n v="56000"/>
    <n v="22862"/>
    <n v="0.40825"/>
    <x v="2"/>
    <n v="1907"/>
  </r>
  <r>
    <d v="2023-07-01T00:00:00"/>
    <x v="3"/>
    <x v="6"/>
    <n v="10070"/>
    <n v="33138"/>
    <n v="56000"/>
    <n v="22862"/>
    <n v="0.40825"/>
    <x v="3"/>
    <n v="712"/>
  </r>
  <r>
    <d v="2023-07-01T00:00:00"/>
    <x v="3"/>
    <x v="6"/>
    <n v="10070"/>
    <n v="33138"/>
    <n v="56000"/>
    <n v="22862"/>
    <n v="0.40825"/>
    <x v="4"/>
    <n v="2327"/>
  </r>
  <r>
    <d v="2023-07-01T00:00:00"/>
    <x v="3"/>
    <x v="6"/>
    <n v="10070"/>
    <n v="33138"/>
    <n v="56000"/>
    <n v="22862"/>
    <n v="0.40825"/>
    <x v="5"/>
    <n v="1720"/>
  </r>
  <r>
    <d v="2023-07-01T00:00:00"/>
    <x v="3"/>
    <x v="6"/>
    <n v="10070"/>
    <n v="33138"/>
    <n v="56000"/>
    <n v="22862"/>
    <n v="0.40825"/>
    <x v="6"/>
    <n v="7004"/>
  </r>
  <r>
    <d v="2023-07-01T00:00:00"/>
    <x v="3"/>
    <x v="6"/>
    <n v="10070"/>
    <n v="33138"/>
    <n v="56000"/>
    <n v="22862"/>
    <n v="0.40825"/>
    <x v="7"/>
    <n v="0"/>
  </r>
  <r>
    <d v="2023-07-01T00:00:00"/>
    <x v="3"/>
    <x v="6"/>
    <n v="10070"/>
    <n v="33138"/>
    <n v="56000"/>
    <n v="22862"/>
    <n v="0.40825"/>
    <x v="8"/>
    <n v="3029"/>
  </r>
  <r>
    <d v="2023-07-01T00:00:00"/>
    <x v="3"/>
    <x v="6"/>
    <n v="10070"/>
    <n v="33138"/>
    <n v="56000"/>
    <n v="22862"/>
    <n v="0.40825"/>
    <x v="9"/>
    <n v="1902"/>
  </r>
  <r>
    <d v="2023-08-01T00:00:00"/>
    <x v="3"/>
    <x v="7"/>
    <n v="8841"/>
    <n v="33443"/>
    <n v="56000"/>
    <n v="22557"/>
    <n v="0.40280357142857143"/>
    <x v="0"/>
    <n v="6368"/>
  </r>
  <r>
    <d v="2023-08-01T00:00:00"/>
    <x v="3"/>
    <x v="7"/>
    <n v="8841"/>
    <n v="33443"/>
    <n v="56000"/>
    <n v="22557"/>
    <n v="0.40280357142857143"/>
    <x v="1"/>
    <n v="10000"/>
  </r>
  <r>
    <d v="2023-08-01T00:00:00"/>
    <x v="3"/>
    <x v="7"/>
    <n v="8841"/>
    <n v="33443"/>
    <n v="56000"/>
    <n v="22557"/>
    <n v="0.40280357142857143"/>
    <x v="2"/>
    <n v="1899"/>
  </r>
  <r>
    <d v="2023-08-01T00:00:00"/>
    <x v="3"/>
    <x v="7"/>
    <n v="8841"/>
    <n v="33443"/>
    <n v="56000"/>
    <n v="22557"/>
    <n v="0.40280357142857143"/>
    <x v="3"/>
    <n v="841"/>
  </r>
  <r>
    <d v="2023-08-01T00:00:00"/>
    <x v="3"/>
    <x v="7"/>
    <n v="8841"/>
    <n v="33443"/>
    <n v="56000"/>
    <n v="22557"/>
    <n v="0.40280357142857143"/>
    <x v="4"/>
    <n v="2471"/>
  </r>
  <r>
    <d v="2023-08-01T00:00:00"/>
    <x v="3"/>
    <x v="7"/>
    <n v="8841"/>
    <n v="33443"/>
    <n v="56000"/>
    <n v="22557"/>
    <n v="0.40280357142857143"/>
    <x v="5"/>
    <n v="1311"/>
  </r>
  <r>
    <d v="2023-08-01T00:00:00"/>
    <x v="3"/>
    <x v="7"/>
    <n v="8841"/>
    <n v="33443"/>
    <n v="56000"/>
    <n v="22557"/>
    <n v="0.40280357142857143"/>
    <x v="6"/>
    <n v="5677"/>
  </r>
  <r>
    <d v="2023-08-01T00:00:00"/>
    <x v="3"/>
    <x v="7"/>
    <n v="8841"/>
    <n v="33443"/>
    <n v="56000"/>
    <n v="22557"/>
    <n v="0.40280357142857143"/>
    <x v="7"/>
    <n v="0"/>
  </r>
  <r>
    <d v="2023-08-01T00:00:00"/>
    <x v="3"/>
    <x v="7"/>
    <n v="8841"/>
    <n v="33443"/>
    <n v="56000"/>
    <n v="22557"/>
    <n v="0.40280357142857143"/>
    <x v="8"/>
    <n v="3406"/>
  </r>
  <r>
    <d v="2023-08-01T00:00:00"/>
    <x v="3"/>
    <x v="7"/>
    <n v="8841"/>
    <n v="33443"/>
    <n v="56000"/>
    <n v="22557"/>
    <n v="0.40280357142857143"/>
    <x v="9"/>
    <n v="1470"/>
  </r>
  <r>
    <d v="2023-09-01T00:00:00"/>
    <x v="3"/>
    <x v="8"/>
    <n v="8908"/>
    <n v="34111"/>
    <n v="56000"/>
    <n v="21889"/>
    <n v="0.39087499999999997"/>
    <x v="0"/>
    <n v="5823"/>
  </r>
  <r>
    <d v="2023-09-01T00:00:00"/>
    <x v="3"/>
    <x v="8"/>
    <n v="8908"/>
    <n v="34111"/>
    <n v="56000"/>
    <n v="21889"/>
    <n v="0.39087499999999997"/>
    <x v="1"/>
    <n v="10000"/>
  </r>
  <r>
    <d v="2023-09-01T00:00:00"/>
    <x v="3"/>
    <x v="8"/>
    <n v="8908"/>
    <n v="34111"/>
    <n v="56000"/>
    <n v="21889"/>
    <n v="0.39087499999999997"/>
    <x v="2"/>
    <n v="3482"/>
  </r>
  <r>
    <d v="2023-09-01T00:00:00"/>
    <x v="3"/>
    <x v="8"/>
    <n v="8908"/>
    <n v="34111"/>
    <n v="56000"/>
    <n v="21889"/>
    <n v="0.39087499999999997"/>
    <x v="3"/>
    <n v="1041"/>
  </r>
  <r>
    <d v="2023-09-01T00:00:00"/>
    <x v="3"/>
    <x v="8"/>
    <n v="8908"/>
    <n v="34111"/>
    <n v="56000"/>
    <n v="21889"/>
    <n v="0.39087499999999997"/>
    <x v="4"/>
    <n v="1550"/>
  </r>
  <r>
    <d v="2023-09-01T00:00:00"/>
    <x v="3"/>
    <x v="8"/>
    <n v="8908"/>
    <n v="34111"/>
    <n v="56000"/>
    <n v="21889"/>
    <n v="0.39087499999999997"/>
    <x v="5"/>
    <n v="1526"/>
  </r>
  <r>
    <d v="2023-09-01T00:00:00"/>
    <x v="3"/>
    <x v="8"/>
    <n v="8908"/>
    <n v="34111"/>
    <n v="56000"/>
    <n v="21889"/>
    <n v="0.39087499999999997"/>
    <x v="6"/>
    <n v="6402"/>
  </r>
  <r>
    <d v="2023-09-01T00:00:00"/>
    <x v="3"/>
    <x v="8"/>
    <n v="8908"/>
    <n v="34111"/>
    <n v="56000"/>
    <n v="21889"/>
    <n v="0.39087499999999997"/>
    <x v="7"/>
    <n v="0"/>
  </r>
  <r>
    <d v="2023-09-01T00:00:00"/>
    <x v="3"/>
    <x v="8"/>
    <n v="8908"/>
    <n v="34111"/>
    <n v="56000"/>
    <n v="21889"/>
    <n v="0.39087499999999997"/>
    <x v="8"/>
    <n v="2074"/>
  </r>
  <r>
    <d v="2023-09-01T00:00:00"/>
    <x v="3"/>
    <x v="8"/>
    <n v="8908"/>
    <n v="34111"/>
    <n v="56000"/>
    <n v="21889"/>
    <n v="0.39087499999999997"/>
    <x v="9"/>
    <n v="2213"/>
  </r>
  <r>
    <d v="2023-10-01T00:00:00"/>
    <x v="3"/>
    <x v="9"/>
    <n v="9911"/>
    <n v="35358"/>
    <n v="56000"/>
    <n v="20642"/>
    <n v="0.36860714285714286"/>
    <x v="0"/>
    <n v="6352"/>
  </r>
  <r>
    <d v="2023-10-01T00:00:00"/>
    <x v="3"/>
    <x v="9"/>
    <n v="9911"/>
    <n v="35358"/>
    <n v="56000"/>
    <n v="20642"/>
    <n v="0.36860714285714286"/>
    <x v="1"/>
    <n v="10000"/>
  </r>
  <r>
    <d v="2023-10-01T00:00:00"/>
    <x v="3"/>
    <x v="9"/>
    <n v="9911"/>
    <n v="35358"/>
    <n v="56000"/>
    <n v="20642"/>
    <n v="0.36860714285714286"/>
    <x v="2"/>
    <n v="2337"/>
  </r>
  <r>
    <d v="2023-10-01T00:00:00"/>
    <x v="3"/>
    <x v="9"/>
    <n v="9911"/>
    <n v="35358"/>
    <n v="56000"/>
    <n v="20642"/>
    <n v="0.36860714285714286"/>
    <x v="3"/>
    <n v="970"/>
  </r>
  <r>
    <d v="2023-10-01T00:00:00"/>
    <x v="3"/>
    <x v="9"/>
    <n v="9911"/>
    <n v="35358"/>
    <n v="56000"/>
    <n v="20642"/>
    <n v="0.36860714285714286"/>
    <x v="4"/>
    <n v="1553"/>
  </r>
  <r>
    <d v="2023-10-01T00:00:00"/>
    <x v="3"/>
    <x v="9"/>
    <n v="9911"/>
    <n v="35358"/>
    <n v="56000"/>
    <n v="20642"/>
    <n v="0.36860714285714286"/>
    <x v="5"/>
    <n v="1481"/>
  </r>
  <r>
    <d v="2023-10-01T00:00:00"/>
    <x v="3"/>
    <x v="9"/>
    <n v="9911"/>
    <n v="35358"/>
    <n v="56000"/>
    <n v="20642"/>
    <n v="0.36860714285714286"/>
    <x v="6"/>
    <n v="7062"/>
  </r>
  <r>
    <d v="2023-10-01T00:00:00"/>
    <x v="3"/>
    <x v="9"/>
    <n v="9911"/>
    <n v="35358"/>
    <n v="56000"/>
    <n v="20642"/>
    <n v="0.36860714285714286"/>
    <x v="7"/>
    <n v="0"/>
  </r>
  <r>
    <d v="2023-10-01T00:00:00"/>
    <x v="3"/>
    <x v="9"/>
    <n v="9911"/>
    <n v="35358"/>
    <n v="56000"/>
    <n v="20642"/>
    <n v="0.36860714285714286"/>
    <x v="8"/>
    <n v="3991"/>
  </r>
  <r>
    <d v="2023-10-01T00:00:00"/>
    <x v="3"/>
    <x v="9"/>
    <n v="9911"/>
    <n v="35358"/>
    <n v="56000"/>
    <n v="20642"/>
    <n v="0.36860714285714286"/>
    <x v="9"/>
    <n v="1612"/>
  </r>
  <r>
    <d v="2023-11-01T00:00:00"/>
    <x v="3"/>
    <x v="10"/>
    <n v="9517"/>
    <n v="38811"/>
    <n v="56000"/>
    <n v="17189"/>
    <n v="0.30694642857142856"/>
    <x v="0"/>
    <n v="6004"/>
  </r>
  <r>
    <d v="2023-11-01T00:00:00"/>
    <x v="3"/>
    <x v="10"/>
    <n v="9517"/>
    <n v="38811"/>
    <n v="56000"/>
    <n v="17189"/>
    <n v="0.30694642857142856"/>
    <x v="1"/>
    <n v="13000"/>
  </r>
  <r>
    <d v="2023-11-01T00:00:00"/>
    <x v="3"/>
    <x v="10"/>
    <n v="9517"/>
    <n v="38811"/>
    <n v="56000"/>
    <n v="17189"/>
    <n v="0.30694642857142856"/>
    <x v="2"/>
    <n v="2719"/>
  </r>
  <r>
    <d v="2023-11-01T00:00:00"/>
    <x v="3"/>
    <x v="10"/>
    <n v="9517"/>
    <n v="38811"/>
    <n v="56000"/>
    <n v="17189"/>
    <n v="0.30694642857142856"/>
    <x v="3"/>
    <n v="961"/>
  </r>
  <r>
    <d v="2023-11-01T00:00:00"/>
    <x v="3"/>
    <x v="10"/>
    <n v="9517"/>
    <n v="38811"/>
    <n v="56000"/>
    <n v="17189"/>
    <n v="0.30694642857142856"/>
    <x v="4"/>
    <n v="2376"/>
  </r>
  <r>
    <d v="2023-11-01T00:00:00"/>
    <x v="3"/>
    <x v="10"/>
    <n v="9517"/>
    <n v="38811"/>
    <n v="56000"/>
    <n v="17189"/>
    <n v="0.30694642857142856"/>
    <x v="5"/>
    <n v="2626"/>
  </r>
  <r>
    <d v="2023-11-01T00:00:00"/>
    <x v="3"/>
    <x v="10"/>
    <n v="9517"/>
    <n v="38811"/>
    <n v="56000"/>
    <n v="17189"/>
    <n v="0.30694642857142856"/>
    <x v="6"/>
    <n v="6751"/>
  </r>
  <r>
    <d v="2023-11-01T00:00:00"/>
    <x v="3"/>
    <x v="10"/>
    <n v="9517"/>
    <n v="38811"/>
    <n v="56000"/>
    <n v="17189"/>
    <n v="0.30694642857142856"/>
    <x v="7"/>
    <n v="0"/>
  </r>
  <r>
    <d v="2023-11-01T00:00:00"/>
    <x v="3"/>
    <x v="10"/>
    <n v="9517"/>
    <n v="38811"/>
    <n v="56000"/>
    <n v="17189"/>
    <n v="0.30694642857142856"/>
    <x v="8"/>
    <n v="2491"/>
  </r>
  <r>
    <d v="2023-11-01T00:00:00"/>
    <x v="3"/>
    <x v="10"/>
    <n v="9517"/>
    <n v="38811"/>
    <n v="56000"/>
    <n v="17189"/>
    <n v="0.30694642857142856"/>
    <x v="9"/>
    <n v="1883"/>
  </r>
  <r>
    <d v="2023-12-01T00:00:00"/>
    <x v="3"/>
    <x v="11"/>
    <n v="7833"/>
    <n v="40146"/>
    <n v="56000"/>
    <n v="15854"/>
    <n v="0.28310714285714284"/>
    <x v="0"/>
    <n v="8983"/>
  </r>
  <r>
    <d v="2023-12-01T00:00:00"/>
    <x v="3"/>
    <x v="11"/>
    <n v="7833"/>
    <n v="40146"/>
    <n v="56000"/>
    <n v="15854"/>
    <n v="0.28310714285714284"/>
    <x v="1"/>
    <n v="13000"/>
  </r>
  <r>
    <d v="2023-12-01T00:00:00"/>
    <x v="3"/>
    <x v="11"/>
    <n v="7833"/>
    <n v="40146"/>
    <n v="56000"/>
    <n v="15854"/>
    <n v="0.28310714285714284"/>
    <x v="2"/>
    <n v="1768"/>
  </r>
  <r>
    <d v="2023-12-01T00:00:00"/>
    <x v="3"/>
    <x v="11"/>
    <n v="7833"/>
    <n v="40146"/>
    <n v="56000"/>
    <n v="15854"/>
    <n v="0.28310714285714284"/>
    <x v="3"/>
    <n v="1069"/>
  </r>
  <r>
    <d v="2023-12-01T00:00:00"/>
    <x v="3"/>
    <x v="11"/>
    <n v="7833"/>
    <n v="40146"/>
    <n v="56000"/>
    <n v="15854"/>
    <n v="0.28310714285714284"/>
    <x v="4"/>
    <n v="2135"/>
  </r>
  <r>
    <d v="2023-12-01T00:00:00"/>
    <x v="3"/>
    <x v="11"/>
    <n v="7833"/>
    <n v="40146"/>
    <n v="56000"/>
    <n v="15854"/>
    <n v="0.28310714285714284"/>
    <x v="5"/>
    <n v="2155"/>
  </r>
  <r>
    <d v="2023-12-01T00:00:00"/>
    <x v="3"/>
    <x v="11"/>
    <n v="7833"/>
    <n v="40146"/>
    <n v="56000"/>
    <n v="15854"/>
    <n v="0.28310714285714284"/>
    <x v="6"/>
    <n v="5714"/>
  </r>
  <r>
    <d v="2023-12-01T00:00:00"/>
    <x v="3"/>
    <x v="11"/>
    <n v="7833"/>
    <n v="40146"/>
    <n v="56000"/>
    <n v="15854"/>
    <n v="0.28310714285714284"/>
    <x v="7"/>
    <n v="0"/>
  </r>
  <r>
    <d v="2023-12-01T00:00:00"/>
    <x v="3"/>
    <x v="11"/>
    <n v="7833"/>
    <n v="40146"/>
    <n v="56000"/>
    <n v="15854"/>
    <n v="0.28310714285714284"/>
    <x v="8"/>
    <n v="2629"/>
  </r>
  <r>
    <d v="2023-12-01T00:00:00"/>
    <x v="3"/>
    <x v="11"/>
    <n v="7833"/>
    <n v="40146"/>
    <n v="56000"/>
    <n v="15854"/>
    <n v="0.28310714285714284"/>
    <x v="9"/>
    <n v="2693"/>
  </r>
  <r>
    <d v="2024-01-01T00:00:00"/>
    <x v="4"/>
    <x v="0"/>
    <n v="9497"/>
    <n v="48559"/>
    <n v="56000"/>
    <n v="7441"/>
    <n v="0.13287499999999999"/>
    <x v="0"/>
    <n v="7810"/>
  </r>
  <r>
    <d v="2024-01-01T00:00:00"/>
    <x v="4"/>
    <x v="0"/>
    <n v="9497"/>
    <n v="48559"/>
    <n v="56000"/>
    <n v="7441"/>
    <n v="0.13287499999999999"/>
    <x v="1"/>
    <n v="13000"/>
  </r>
  <r>
    <d v="2024-01-01T00:00:00"/>
    <x v="4"/>
    <x v="0"/>
    <n v="9497"/>
    <n v="48559"/>
    <n v="56000"/>
    <n v="7441"/>
    <n v="0.13287499999999999"/>
    <x v="2"/>
    <n v="3474"/>
  </r>
  <r>
    <d v="2024-01-01T00:00:00"/>
    <x v="4"/>
    <x v="0"/>
    <n v="9497"/>
    <n v="48559"/>
    <n v="56000"/>
    <n v="7441"/>
    <n v="0.13287499999999999"/>
    <x v="3"/>
    <n v="1045"/>
  </r>
  <r>
    <d v="2024-01-01T00:00:00"/>
    <x v="4"/>
    <x v="0"/>
    <n v="9497"/>
    <n v="48559"/>
    <n v="56000"/>
    <n v="7441"/>
    <n v="0.13287499999999999"/>
    <x v="4"/>
    <n v="2240"/>
  </r>
  <r>
    <d v="2024-01-01T00:00:00"/>
    <x v="4"/>
    <x v="0"/>
    <n v="9497"/>
    <n v="48559"/>
    <n v="56000"/>
    <n v="7441"/>
    <n v="0.13287499999999999"/>
    <x v="5"/>
    <n v="2581"/>
  </r>
  <r>
    <d v="2024-01-01T00:00:00"/>
    <x v="4"/>
    <x v="0"/>
    <n v="9497"/>
    <n v="48559"/>
    <n v="56000"/>
    <n v="7441"/>
    <n v="0.13287499999999999"/>
    <x v="6"/>
    <n v="7940"/>
  </r>
  <r>
    <d v="2024-01-01T00:00:00"/>
    <x v="4"/>
    <x v="0"/>
    <n v="9497"/>
    <n v="48559"/>
    <n v="56000"/>
    <n v="7441"/>
    <n v="0.13287499999999999"/>
    <x v="7"/>
    <n v="6000"/>
  </r>
  <r>
    <d v="2024-01-01T00:00:00"/>
    <x v="4"/>
    <x v="0"/>
    <n v="9497"/>
    <n v="48559"/>
    <n v="56000"/>
    <n v="7441"/>
    <n v="0.13287499999999999"/>
    <x v="8"/>
    <n v="1616"/>
  </r>
  <r>
    <d v="2024-01-01T00:00:00"/>
    <x v="4"/>
    <x v="0"/>
    <n v="9497"/>
    <n v="48559"/>
    <n v="56000"/>
    <n v="7441"/>
    <n v="0.13287499999999999"/>
    <x v="9"/>
    <n v="2853"/>
  </r>
  <r>
    <d v="2024-02-01T00:00:00"/>
    <x v="4"/>
    <x v="1"/>
    <n v="6624"/>
    <n v="44818"/>
    <n v="56000"/>
    <n v="11182"/>
    <n v="0.19967857142857143"/>
    <x v="0"/>
    <n v="7012"/>
  </r>
  <r>
    <d v="2024-02-01T00:00:00"/>
    <x v="4"/>
    <x v="1"/>
    <n v="6624"/>
    <n v="44818"/>
    <n v="56000"/>
    <n v="11182"/>
    <n v="0.19967857142857143"/>
    <x v="1"/>
    <n v="13000"/>
  </r>
  <r>
    <d v="2024-02-01T00:00:00"/>
    <x v="4"/>
    <x v="1"/>
    <n v="6624"/>
    <n v="44818"/>
    <n v="56000"/>
    <n v="11182"/>
    <n v="0.19967857142857143"/>
    <x v="2"/>
    <n v="2133"/>
  </r>
  <r>
    <d v="2024-02-01T00:00:00"/>
    <x v="4"/>
    <x v="1"/>
    <n v="6624"/>
    <n v="44818"/>
    <n v="56000"/>
    <n v="11182"/>
    <n v="0.19967857142857143"/>
    <x v="3"/>
    <n v="700"/>
  </r>
  <r>
    <d v="2024-02-01T00:00:00"/>
    <x v="4"/>
    <x v="1"/>
    <n v="6624"/>
    <n v="44818"/>
    <n v="56000"/>
    <n v="11182"/>
    <n v="0.19967857142857143"/>
    <x v="4"/>
    <n v="2250"/>
  </r>
  <r>
    <d v="2024-02-01T00:00:00"/>
    <x v="4"/>
    <x v="1"/>
    <n v="6624"/>
    <n v="44818"/>
    <n v="56000"/>
    <n v="11182"/>
    <n v="0.19967857142857143"/>
    <x v="5"/>
    <n v="2581"/>
  </r>
  <r>
    <d v="2024-02-01T00:00:00"/>
    <x v="4"/>
    <x v="1"/>
    <n v="6624"/>
    <n v="44818"/>
    <n v="56000"/>
    <n v="11182"/>
    <n v="0.19967857142857143"/>
    <x v="6"/>
    <n v="5862"/>
  </r>
  <r>
    <d v="2024-02-01T00:00:00"/>
    <x v="4"/>
    <x v="1"/>
    <n v="6624"/>
    <n v="44818"/>
    <n v="56000"/>
    <n v="11182"/>
    <n v="0.19967857142857143"/>
    <x v="7"/>
    <n v="6000"/>
  </r>
  <r>
    <d v="2024-02-01T00:00:00"/>
    <x v="4"/>
    <x v="1"/>
    <n v="6624"/>
    <n v="44818"/>
    <n v="56000"/>
    <n v="11182"/>
    <n v="0.19967857142857143"/>
    <x v="8"/>
    <n v="2619"/>
  </r>
  <r>
    <d v="2024-02-01T00:00:00"/>
    <x v="4"/>
    <x v="1"/>
    <n v="6624"/>
    <n v="44818"/>
    <n v="56000"/>
    <n v="11182"/>
    <n v="0.19967857142857143"/>
    <x v="9"/>
    <n v="2661"/>
  </r>
  <r>
    <d v="2024-03-01T00:00:00"/>
    <x v="4"/>
    <x v="2"/>
    <n v="7949"/>
    <n v="46654"/>
    <n v="56000"/>
    <n v="9346"/>
    <n v="0.16689285714285715"/>
    <x v="0"/>
    <n v="6896"/>
  </r>
  <r>
    <d v="2024-03-01T00:00:00"/>
    <x v="4"/>
    <x v="2"/>
    <n v="7949"/>
    <n v="46654"/>
    <n v="56000"/>
    <n v="9346"/>
    <n v="0.16689285714285715"/>
    <x v="1"/>
    <n v="13000"/>
  </r>
  <r>
    <d v="2024-03-01T00:00:00"/>
    <x v="4"/>
    <x v="2"/>
    <n v="7949"/>
    <n v="46654"/>
    <n v="56000"/>
    <n v="9346"/>
    <n v="0.16689285714285715"/>
    <x v="2"/>
    <n v="2712"/>
  </r>
  <r>
    <d v="2024-03-01T00:00:00"/>
    <x v="4"/>
    <x v="2"/>
    <n v="7949"/>
    <n v="46654"/>
    <n v="56000"/>
    <n v="9346"/>
    <n v="0.16689285714285715"/>
    <x v="3"/>
    <n v="1186"/>
  </r>
  <r>
    <d v="2024-03-01T00:00:00"/>
    <x v="4"/>
    <x v="2"/>
    <n v="7949"/>
    <n v="46654"/>
    <n v="56000"/>
    <n v="9346"/>
    <n v="0.16689285714285715"/>
    <x v="4"/>
    <n v="2203"/>
  </r>
  <r>
    <d v="2024-03-01T00:00:00"/>
    <x v="4"/>
    <x v="2"/>
    <n v="7949"/>
    <n v="46654"/>
    <n v="56000"/>
    <n v="9346"/>
    <n v="0.16689285714285715"/>
    <x v="5"/>
    <n v="2795"/>
  </r>
  <r>
    <d v="2024-03-01T00:00:00"/>
    <x v="4"/>
    <x v="2"/>
    <n v="7949"/>
    <n v="46654"/>
    <n v="56000"/>
    <n v="9346"/>
    <n v="0.16689285714285715"/>
    <x v="6"/>
    <n v="7312"/>
  </r>
  <r>
    <d v="2024-03-01T00:00:00"/>
    <x v="4"/>
    <x v="2"/>
    <n v="7949"/>
    <n v="46654"/>
    <n v="56000"/>
    <n v="9346"/>
    <n v="0.16689285714285715"/>
    <x v="7"/>
    <n v="6000"/>
  </r>
  <r>
    <d v="2024-03-01T00:00:00"/>
    <x v="4"/>
    <x v="2"/>
    <n v="7949"/>
    <n v="46654"/>
    <n v="56000"/>
    <n v="9346"/>
    <n v="0.16689285714285715"/>
    <x v="8"/>
    <n v="2970"/>
  </r>
  <r>
    <d v="2024-03-01T00:00:00"/>
    <x v="4"/>
    <x v="2"/>
    <n v="7949"/>
    <n v="46654"/>
    <n v="56000"/>
    <n v="9346"/>
    <n v="0.16689285714285715"/>
    <x v="9"/>
    <n v="1580"/>
  </r>
  <r>
    <d v="2024-04-01T00:00:00"/>
    <x v="4"/>
    <x v="3"/>
    <n v="8393"/>
    <n v="45124"/>
    <n v="64000"/>
    <n v="18876"/>
    <n v="0.29493750000000002"/>
    <x v="0"/>
    <n v="6153"/>
  </r>
  <r>
    <d v="2024-04-01T00:00:00"/>
    <x v="4"/>
    <x v="3"/>
    <n v="8393"/>
    <n v="45124"/>
    <n v="64000"/>
    <n v="18876"/>
    <n v="0.29493750000000002"/>
    <x v="1"/>
    <n v="13000"/>
  </r>
  <r>
    <d v="2024-04-01T00:00:00"/>
    <x v="4"/>
    <x v="3"/>
    <n v="8393"/>
    <n v="45124"/>
    <n v="64000"/>
    <n v="18876"/>
    <n v="0.29493750000000002"/>
    <x v="2"/>
    <n v="2496"/>
  </r>
  <r>
    <d v="2024-04-01T00:00:00"/>
    <x v="4"/>
    <x v="3"/>
    <n v="8393"/>
    <n v="45124"/>
    <n v="64000"/>
    <n v="18876"/>
    <n v="0.29493750000000002"/>
    <x v="3"/>
    <n v="785"/>
  </r>
  <r>
    <d v="2024-04-01T00:00:00"/>
    <x v="4"/>
    <x v="3"/>
    <n v="8393"/>
    <n v="45124"/>
    <n v="64000"/>
    <n v="18876"/>
    <n v="0.29493750000000002"/>
    <x v="4"/>
    <n v="2196"/>
  </r>
  <r>
    <d v="2024-04-01T00:00:00"/>
    <x v="4"/>
    <x v="3"/>
    <n v="8393"/>
    <n v="45124"/>
    <n v="64000"/>
    <n v="18876"/>
    <n v="0.29493750000000002"/>
    <x v="5"/>
    <n v="2958"/>
  </r>
  <r>
    <d v="2024-04-01T00:00:00"/>
    <x v="4"/>
    <x v="3"/>
    <n v="8393"/>
    <n v="45124"/>
    <n v="64000"/>
    <n v="18876"/>
    <n v="0.29493750000000002"/>
    <x v="6"/>
    <n v="6701"/>
  </r>
  <r>
    <d v="2024-04-01T00:00:00"/>
    <x v="4"/>
    <x v="3"/>
    <n v="8393"/>
    <n v="45124"/>
    <n v="64000"/>
    <n v="18876"/>
    <n v="0.29493750000000002"/>
    <x v="7"/>
    <n v="6000"/>
  </r>
  <r>
    <d v="2024-04-01T00:00:00"/>
    <x v="4"/>
    <x v="3"/>
    <n v="8393"/>
    <n v="45124"/>
    <n v="64000"/>
    <n v="18876"/>
    <n v="0.29493750000000002"/>
    <x v="8"/>
    <n v="2743"/>
  </r>
  <r>
    <d v="2024-04-01T00:00:00"/>
    <x v="4"/>
    <x v="3"/>
    <n v="8393"/>
    <n v="45124"/>
    <n v="64000"/>
    <n v="18876"/>
    <n v="0.29493750000000002"/>
    <x v="9"/>
    <n v="2092"/>
  </r>
  <r>
    <d v="2024-05-01T00:00:00"/>
    <x v="4"/>
    <x v="4"/>
    <n v="9430"/>
    <n v="46945"/>
    <n v="64000"/>
    <n v="17055"/>
    <n v="0.266484375"/>
    <x v="0"/>
    <n v="6957"/>
  </r>
  <r>
    <d v="2024-05-01T00:00:00"/>
    <x v="4"/>
    <x v="4"/>
    <n v="9430"/>
    <n v="46945"/>
    <n v="64000"/>
    <n v="17055"/>
    <n v="0.266484375"/>
    <x v="1"/>
    <n v="13000"/>
  </r>
  <r>
    <d v="2024-05-01T00:00:00"/>
    <x v="4"/>
    <x v="4"/>
    <n v="9430"/>
    <n v="46945"/>
    <n v="64000"/>
    <n v="17055"/>
    <n v="0.266484375"/>
    <x v="2"/>
    <n v="1952"/>
  </r>
  <r>
    <d v="2024-05-01T00:00:00"/>
    <x v="4"/>
    <x v="4"/>
    <n v="9430"/>
    <n v="46945"/>
    <n v="64000"/>
    <n v="17055"/>
    <n v="0.266484375"/>
    <x v="3"/>
    <n v="903"/>
  </r>
  <r>
    <d v="2024-05-01T00:00:00"/>
    <x v="4"/>
    <x v="4"/>
    <n v="9430"/>
    <n v="46945"/>
    <n v="64000"/>
    <n v="17055"/>
    <n v="0.266484375"/>
    <x v="4"/>
    <n v="2411"/>
  </r>
  <r>
    <d v="2024-05-01T00:00:00"/>
    <x v="4"/>
    <x v="4"/>
    <n v="9430"/>
    <n v="46945"/>
    <n v="64000"/>
    <n v="17055"/>
    <n v="0.266484375"/>
    <x v="5"/>
    <n v="2511"/>
  </r>
  <r>
    <d v="2024-05-01T00:00:00"/>
    <x v="4"/>
    <x v="4"/>
    <n v="9430"/>
    <n v="46945"/>
    <n v="64000"/>
    <n v="17055"/>
    <n v="0.266484375"/>
    <x v="6"/>
    <n v="7973"/>
  </r>
  <r>
    <d v="2024-05-01T00:00:00"/>
    <x v="4"/>
    <x v="4"/>
    <n v="9430"/>
    <n v="46945"/>
    <n v="64000"/>
    <n v="17055"/>
    <n v="0.266484375"/>
    <x v="7"/>
    <n v="6000"/>
  </r>
  <r>
    <d v="2024-05-01T00:00:00"/>
    <x v="4"/>
    <x v="4"/>
    <n v="9430"/>
    <n v="46945"/>
    <n v="64000"/>
    <n v="17055"/>
    <n v="0.266484375"/>
    <x v="8"/>
    <n v="3765"/>
  </r>
  <r>
    <d v="2024-05-01T00:00:00"/>
    <x v="4"/>
    <x v="4"/>
    <n v="9430"/>
    <n v="46945"/>
    <n v="64000"/>
    <n v="17055"/>
    <n v="0.266484375"/>
    <x v="9"/>
    <n v="1473"/>
  </r>
  <r>
    <d v="2024-06-01T00:00:00"/>
    <x v="4"/>
    <x v="5"/>
    <n v="12074"/>
    <n v="49167"/>
    <n v="64000"/>
    <n v="14833"/>
    <n v="0.231765625"/>
    <x v="0"/>
    <n v="7312"/>
  </r>
  <r>
    <d v="2024-06-01T00:00:00"/>
    <x v="4"/>
    <x v="5"/>
    <n v="12074"/>
    <n v="49167"/>
    <n v="64000"/>
    <n v="14833"/>
    <n v="0.231765625"/>
    <x v="1"/>
    <n v="13000"/>
  </r>
  <r>
    <d v="2024-06-01T00:00:00"/>
    <x v="4"/>
    <x v="5"/>
    <n v="12074"/>
    <n v="49167"/>
    <n v="64000"/>
    <n v="14833"/>
    <n v="0.231765625"/>
    <x v="2"/>
    <n v="3257"/>
  </r>
  <r>
    <d v="2024-06-01T00:00:00"/>
    <x v="4"/>
    <x v="5"/>
    <n v="12074"/>
    <n v="49167"/>
    <n v="64000"/>
    <n v="14833"/>
    <n v="0.231765625"/>
    <x v="3"/>
    <n v="1056"/>
  </r>
  <r>
    <d v="2024-06-01T00:00:00"/>
    <x v="4"/>
    <x v="5"/>
    <n v="12074"/>
    <n v="49167"/>
    <n v="64000"/>
    <n v="14833"/>
    <n v="0.231765625"/>
    <x v="4"/>
    <n v="1522"/>
  </r>
  <r>
    <d v="2024-06-01T00:00:00"/>
    <x v="4"/>
    <x v="5"/>
    <n v="12074"/>
    <n v="49167"/>
    <n v="64000"/>
    <n v="14833"/>
    <n v="0.231765625"/>
    <x v="5"/>
    <n v="2777"/>
  </r>
  <r>
    <d v="2024-06-01T00:00:00"/>
    <x v="4"/>
    <x v="5"/>
    <n v="12074"/>
    <n v="49167"/>
    <n v="64000"/>
    <n v="14833"/>
    <n v="0.231765625"/>
    <x v="6"/>
    <n v="9437"/>
  </r>
  <r>
    <d v="2024-06-01T00:00:00"/>
    <x v="4"/>
    <x v="5"/>
    <n v="12074"/>
    <n v="49167"/>
    <n v="64000"/>
    <n v="14833"/>
    <n v="0.231765625"/>
    <x v="7"/>
    <n v="6000"/>
  </r>
  <r>
    <d v="2024-06-01T00:00:00"/>
    <x v="4"/>
    <x v="5"/>
    <n v="12074"/>
    <n v="49167"/>
    <n v="64000"/>
    <n v="14833"/>
    <n v="0.231765625"/>
    <x v="8"/>
    <n v="3285"/>
  </r>
  <r>
    <d v="2024-06-01T00:00:00"/>
    <x v="4"/>
    <x v="5"/>
    <n v="12074"/>
    <n v="49167"/>
    <n v="64000"/>
    <n v="14833"/>
    <n v="0.231765625"/>
    <x v="9"/>
    <n v="1521"/>
  </r>
  <r>
    <d v="2024-07-01T00:00:00"/>
    <x v="4"/>
    <x v="6"/>
    <n v="10511"/>
    <n v="46340"/>
    <n v="64000"/>
    <n v="17660"/>
    <n v="0.2759375"/>
    <x v="0"/>
    <n v="8809"/>
  </r>
  <r>
    <d v="2024-07-01T00:00:00"/>
    <x v="4"/>
    <x v="6"/>
    <n v="10511"/>
    <n v="46340"/>
    <n v="64000"/>
    <n v="17660"/>
    <n v="0.2759375"/>
    <x v="1"/>
    <n v="13000"/>
  </r>
  <r>
    <d v="2024-07-01T00:00:00"/>
    <x v="4"/>
    <x v="6"/>
    <n v="10511"/>
    <n v="46340"/>
    <n v="64000"/>
    <n v="17660"/>
    <n v="0.2759375"/>
    <x v="2"/>
    <n v="3131"/>
  </r>
  <r>
    <d v="2024-07-01T00:00:00"/>
    <x v="4"/>
    <x v="6"/>
    <n v="10511"/>
    <n v="46340"/>
    <n v="64000"/>
    <n v="17660"/>
    <n v="0.2759375"/>
    <x v="3"/>
    <n v="956"/>
  </r>
  <r>
    <d v="2024-07-01T00:00:00"/>
    <x v="4"/>
    <x v="6"/>
    <n v="10511"/>
    <n v="46340"/>
    <n v="64000"/>
    <n v="17660"/>
    <n v="0.2759375"/>
    <x v="4"/>
    <n v="1824"/>
  </r>
  <r>
    <d v="2024-07-01T00:00:00"/>
    <x v="4"/>
    <x v="6"/>
    <n v="10511"/>
    <n v="46340"/>
    <n v="64000"/>
    <n v="17660"/>
    <n v="0.2759375"/>
    <x v="5"/>
    <n v="1941"/>
  </r>
  <r>
    <d v="2024-07-01T00:00:00"/>
    <x v="4"/>
    <x v="6"/>
    <n v="10511"/>
    <n v="46340"/>
    <n v="64000"/>
    <n v="17660"/>
    <n v="0.2759375"/>
    <x v="6"/>
    <n v="6625"/>
  </r>
  <r>
    <d v="2024-07-01T00:00:00"/>
    <x v="4"/>
    <x v="6"/>
    <n v="10511"/>
    <n v="46340"/>
    <n v="64000"/>
    <n v="17660"/>
    <n v="0.2759375"/>
    <x v="7"/>
    <n v="6000"/>
  </r>
  <r>
    <d v="2024-07-01T00:00:00"/>
    <x v="4"/>
    <x v="6"/>
    <n v="10511"/>
    <n v="46340"/>
    <n v="64000"/>
    <n v="17660"/>
    <n v="0.2759375"/>
    <x v="8"/>
    <n v="2015"/>
  </r>
  <r>
    <d v="2024-07-01T00:00:00"/>
    <x v="4"/>
    <x v="6"/>
    <n v="10511"/>
    <n v="46340"/>
    <n v="64000"/>
    <n v="17660"/>
    <n v="0.2759375"/>
    <x v="9"/>
    <n v="2039"/>
  </r>
  <r>
    <d v="2024-08-01T00:00:00"/>
    <x v="4"/>
    <x v="7"/>
    <n v="10517"/>
    <n v="46835"/>
    <n v="64000"/>
    <n v="17165"/>
    <n v="0.26820312499999999"/>
    <x v="0"/>
    <n v="6496"/>
  </r>
  <r>
    <d v="2024-08-01T00:00:00"/>
    <x v="4"/>
    <x v="7"/>
    <n v="10517"/>
    <n v="46835"/>
    <n v="64000"/>
    <n v="17165"/>
    <n v="0.26820312499999999"/>
    <x v="1"/>
    <n v="13000"/>
  </r>
  <r>
    <d v="2024-08-01T00:00:00"/>
    <x v="4"/>
    <x v="7"/>
    <n v="10517"/>
    <n v="46835"/>
    <n v="64000"/>
    <n v="17165"/>
    <n v="0.26820312499999999"/>
    <x v="2"/>
    <n v="1659"/>
  </r>
  <r>
    <d v="2024-08-01T00:00:00"/>
    <x v="4"/>
    <x v="7"/>
    <n v="10517"/>
    <n v="46835"/>
    <n v="64000"/>
    <n v="17165"/>
    <n v="0.26820312499999999"/>
    <x v="3"/>
    <n v="1174"/>
  </r>
  <r>
    <d v="2024-08-01T00:00:00"/>
    <x v="4"/>
    <x v="7"/>
    <n v="10517"/>
    <n v="46835"/>
    <n v="64000"/>
    <n v="17165"/>
    <n v="0.26820312499999999"/>
    <x v="4"/>
    <n v="2351"/>
  </r>
  <r>
    <d v="2024-08-01T00:00:00"/>
    <x v="4"/>
    <x v="7"/>
    <n v="10517"/>
    <n v="46835"/>
    <n v="64000"/>
    <n v="17165"/>
    <n v="0.26820312499999999"/>
    <x v="5"/>
    <n v="2395"/>
  </r>
  <r>
    <d v="2024-08-01T00:00:00"/>
    <x v="4"/>
    <x v="7"/>
    <n v="10517"/>
    <n v="46835"/>
    <n v="64000"/>
    <n v="17165"/>
    <n v="0.26820312499999999"/>
    <x v="6"/>
    <n v="7642"/>
  </r>
  <r>
    <d v="2024-08-01T00:00:00"/>
    <x v="4"/>
    <x v="7"/>
    <n v="10517"/>
    <n v="46835"/>
    <n v="64000"/>
    <n v="17165"/>
    <n v="0.26820312499999999"/>
    <x v="7"/>
    <n v="6000"/>
  </r>
  <r>
    <d v="2024-08-01T00:00:00"/>
    <x v="4"/>
    <x v="7"/>
    <n v="10517"/>
    <n v="46835"/>
    <n v="64000"/>
    <n v="17165"/>
    <n v="0.26820312499999999"/>
    <x v="8"/>
    <n v="3187"/>
  </r>
  <r>
    <d v="2024-08-01T00:00:00"/>
    <x v="4"/>
    <x v="7"/>
    <n v="10517"/>
    <n v="46835"/>
    <n v="64000"/>
    <n v="17165"/>
    <n v="0.26820312499999999"/>
    <x v="9"/>
    <n v="2931"/>
  </r>
  <r>
    <d v="2024-09-01T00:00:00"/>
    <x v="4"/>
    <x v="8"/>
    <n v="7653"/>
    <n v="48091"/>
    <n v="64000"/>
    <n v="15909"/>
    <n v="0.24857812500000001"/>
    <x v="0"/>
    <n v="6956"/>
  </r>
  <r>
    <d v="2024-09-01T00:00:00"/>
    <x v="4"/>
    <x v="8"/>
    <n v="7653"/>
    <n v="48091"/>
    <n v="64000"/>
    <n v="15909"/>
    <n v="0.24857812500000001"/>
    <x v="1"/>
    <n v="13000"/>
  </r>
  <r>
    <d v="2024-09-01T00:00:00"/>
    <x v="4"/>
    <x v="8"/>
    <n v="7653"/>
    <n v="48091"/>
    <n v="64000"/>
    <n v="15909"/>
    <n v="0.24857812500000001"/>
    <x v="2"/>
    <n v="2950"/>
  </r>
  <r>
    <d v="2024-09-01T00:00:00"/>
    <x v="4"/>
    <x v="8"/>
    <n v="7653"/>
    <n v="48091"/>
    <n v="64000"/>
    <n v="15909"/>
    <n v="0.24857812500000001"/>
    <x v="3"/>
    <n v="800"/>
  </r>
  <r>
    <d v="2024-09-01T00:00:00"/>
    <x v="4"/>
    <x v="8"/>
    <n v="7653"/>
    <n v="48091"/>
    <n v="64000"/>
    <n v="15909"/>
    <n v="0.24857812500000001"/>
    <x v="4"/>
    <n v="1767"/>
  </r>
  <r>
    <d v="2024-09-01T00:00:00"/>
    <x v="4"/>
    <x v="8"/>
    <n v="7653"/>
    <n v="48091"/>
    <n v="64000"/>
    <n v="15909"/>
    <n v="0.24857812500000001"/>
    <x v="5"/>
    <n v="2190"/>
  </r>
  <r>
    <d v="2024-09-01T00:00:00"/>
    <x v="4"/>
    <x v="8"/>
    <n v="7653"/>
    <n v="48091"/>
    <n v="64000"/>
    <n v="15909"/>
    <n v="0.24857812500000001"/>
    <x v="6"/>
    <n v="9297"/>
  </r>
  <r>
    <d v="2024-09-01T00:00:00"/>
    <x v="4"/>
    <x v="8"/>
    <n v="7653"/>
    <n v="48091"/>
    <n v="64000"/>
    <n v="15909"/>
    <n v="0.24857812500000001"/>
    <x v="7"/>
    <n v="6000"/>
  </r>
  <r>
    <d v="2024-09-01T00:00:00"/>
    <x v="4"/>
    <x v="8"/>
    <n v="7653"/>
    <n v="48091"/>
    <n v="64000"/>
    <n v="15909"/>
    <n v="0.24857812500000001"/>
    <x v="8"/>
    <n v="2940"/>
  </r>
  <r>
    <d v="2024-09-01T00:00:00"/>
    <x v="4"/>
    <x v="8"/>
    <n v="7653"/>
    <n v="48091"/>
    <n v="64000"/>
    <n v="15909"/>
    <n v="0.24857812500000001"/>
    <x v="9"/>
    <n v="2191"/>
  </r>
  <r>
    <d v="2024-10-01T00:00:00"/>
    <x v="4"/>
    <x v="9"/>
    <n v="10596"/>
    <n v="46246"/>
    <n v="64000"/>
    <n v="17754"/>
    <n v="0.27740625000000002"/>
    <x v="0"/>
    <n v="8444"/>
  </r>
  <r>
    <d v="2024-10-01T00:00:00"/>
    <x v="4"/>
    <x v="9"/>
    <n v="10596"/>
    <n v="46246"/>
    <n v="64000"/>
    <n v="17754"/>
    <n v="0.27740625000000002"/>
    <x v="1"/>
    <n v="13000"/>
  </r>
  <r>
    <d v="2024-10-01T00:00:00"/>
    <x v="4"/>
    <x v="9"/>
    <n v="10596"/>
    <n v="46246"/>
    <n v="64000"/>
    <n v="17754"/>
    <n v="0.27740625000000002"/>
    <x v="2"/>
    <n v="3130"/>
  </r>
  <r>
    <d v="2024-10-01T00:00:00"/>
    <x v="4"/>
    <x v="9"/>
    <n v="10596"/>
    <n v="46246"/>
    <n v="64000"/>
    <n v="17754"/>
    <n v="0.27740625000000002"/>
    <x v="3"/>
    <n v="1001"/>
  </r>
  <r>
    <d v="2024-10-01T00:00:00"/>
    <x v="4"/>
    <x v="9"/>
    <n v="10596"/>
    <n v="46246"/>
    <n v="64000"/>
    <n v="17754"/>
    <n v="0.27740625000000002"/>
    <x v="4"/>
    <n v="2397"/>
  </r>
  <r>
    <d v="2024-10-01T00:00:00"/>
    <x v="4"/>
    <x v="9"/>
    <n v="10596"/>
    <n v="46246"/>
    <n v="64000"/>
    <n v="17754"/>
    <n v="0.27740625000000002"/>
    <x v="5"/>
    <n v="1511"/>
  </r>
  <r>
    <d v="2024-10-01T00:00:00"/>
    <x v="4"/>
    <x v="9"/>
    <n v="10596"/>
    <n v="46246"/>
    <n v="64000"/>
    <n v="17754"/>
    <n v="0.27740625000000002"/>
    <x v="6"/>
    <n v="7476"/>
  </r>
  <r>
    <d v="2024-10-01T00:00:00"/>
    <x v="4"/>
    <x v="9"/>
    <n v="10596"/>
    <n v="46246"/>
    <n v="64000"/>
    <n v="17754"/>
    <n v="0.27740625000000002"/>
    <x v="7"/>
    <n v="6000"/>
  </r>
  <r>
    <d v="2024-10-01T00:00:00"/>
    <x v="4"/>
    <x v="9"/>
    <n v="10596"/>
    <n v="46246"/>
    <n v="64000"/>
    <n v="17754"/>
    <n v="0.27740625000000002"/>
    <x v="8"/>
    <n v="2253"/>
  </r>
  <r>
    <d v="2024-10-01T00:00:00"/>
    <x v="4"/>
    <x v="9"/>
    <n v="10596"/>
    <n v="46246"/>
    <n v="64000"/>
    <n v="17754"/>
    <n v="0.27740625000000002"/>
    <x v="9"/>
    <n v="1034"/>
  </r>
  <r>
    <d v="2024-11-01T00:00:00"/>
    <x v="4"/>
    <x v="10"/>
    <n v="10859"/>
    <n v="47797"/>
    <n v="64000"/>
    <n v="16203"/>
    <n v="0.25317187499999999"/>
    <x v="0"/>
    <n v="8652"/>
  </r>
  <r>
    <d v="2024-11-01T00:00:00"/>
    <x v="4"/>
    <x v="10"/>
    <n v="10859"/>
    <n v="47797"/>
    <n v="64000"/>
    <n v="16203"/>
    <n v="0.25317187499999999"/>
    <x v="1"/>
    <n v="13000"/>
  </r>
  <r>
    <d v="2024-11-01T00:00:00"/>
    <x v="4"/>
    <x v="10"/>
    <n v="10859"/>
    <n v="47797"/>
    <n v="64000"/>
    <n v="16203"/>
    <n v="0.25317187499999999"/>
    <x v="2"/>
    <n v="3125"/>
  </r>
  <r>
    <d v="2024-11-01T00:00:00"/>
    <x v="4"/>
    <x v="10"/>
    <n v="10859"/>
    <n v="47797"/>
    <n v="64000"/>
    <n v="16203"/>
    <n v="0.25317187499999999"/>
    <x v="3"/>
    <n v="1117"/>
  </r>
  <r>
    <d v="2024-11-01T00:00:00"/>
    <x v="4"/>
    <x v="10"/>
    <n v="10859"/>
    <n v="47797"/>
    <n v="64000"/>
    <n v="16203"/>
    <n v="0.25317187499999999"/>
    <x v="4"/>
    <n v="1614"/>
  </r>
  <r>
    <d v="2024-11-01T00:00:00"/>
    <x v="4"/>
    <x v="10"/>
    <n v="10859"/>
    <n v="47797"/>
    <n v="64000"/>
    <n v="16203"/>
    <n v="0.25317187499999999"/>
    <x v="5"/>
    <n v="2469"/>
  </r>
  <r>
    <d v="2024-11-01T00:00:00"/>
    <x v="4"/>
    <x v="10"/>
    <n v="10859"/>
    <n v="47797"/>
    <n v="64000"/>
    <n v="16203"/>
    <n v="0.25317187499999999"/>
    <x v="6"/>
    <n v="6778"/>
  </r>
  <r>
    <d v="2024-11-01T00:00:00"/>
    <x v="4"/>
    <x v="10"/>
    <n v="10859"/>
    <n v="47797"/>
    <n v="64000"/>
    <n v="16203"/>
    <n v="0.25317187499999999"/>
    <x v="7"/>
    <n v="6000"/>
  </r>
  <r>
    <d v="2024-11-01T00:00:00"/>
    <x v="4"/>
    <x v="10"/>
    <n v="10859"/>
    <n v="47797"/>
    <n v="64000"/>
    <n v="16203"/>
    <n v="0.25317187499999999"/>
    <x v="8"/>
    <n v="2116"/>
  </r>
  <r>
    <d v="2024-11-01T00:00:00"/>
    <x v="4"/>
    <x v="10"/>
    <n v="10859"/>
    <n v="47797"/>
    <n v="64000"/>
    <n v="16203"/>
    <n v="0.25317187499999999"/>
    <x v="9"/>
    <n v="2926"/>
  </r>
  <r>
    <d v="2024-12-01T00:00:00"/>
    <x v="4"/>
    <x v="11"/>
    <n v="9907"/>
    <n v="48044"/>
    <n v="64000"/>
    <n v="15956"/>
    <n v="0.24931249999999999"/>
    <x v="0"/>
    <n v="7516"/>
  </r>
  <r>
    <d v="2024-12-01T00:00:00"/>
    <x v="4"/>
    <x v="11"/>
    <n v="9907"/>
    <n v="48044"/>
    <n v="64000"/>
    <n v="15956"/>
    <n v="0.24931249999999999"/>
    <x v="1"/>
    <n v="13000"/>
  </r>
  <r>
    <d v="2024-12-01T00:00:00"/>
    <x v="4"/>
    <x v="11"/>
    <n v="9907"/>
    <n v="48044"/>
    <n v="64000"/>
    <n v="15956"/>
    <n v="0.24931249999999999"/>
    <x v="2"/>
    <n v="1912"/>
  </r>
  <r>
    <d v="2024-12-01T00:00:00"/>
    <x v="4"/>
    <x v="11"/>
    <n v="9907"/>
    <n v="48044"/>
    <n v="64000"/>
    <n v="15956"/>
    <n v="0.24931249999999999"/>
    <x v="3"/>
    <n v="1075"/>
  </r>
  <r>
    <d v="2024-12-01T00:00:00"/>
    <x v="4"/>
    <x v="11"/>
    <n v="9907"/>
    <n v="48044"/>
    <n v="64000"/>
    <n v="15956"/>
    <n v="0.24931249999999999"/>
    <x v="4"/>
    <n v="1919"/>
  </r>
  <r>
    <d v="2024-12-01T00:00:00"/>
    <x v="4"/>
    <x v="11"/>
    <n v="9907"/>
    <n v="48044"/>
    <n v="64000"/>
    <n v="15956"/>
    <n v="0.24931249999999999"/>
    <x v="5"/>
    <n v="2598"/>
  </r>
  <r>
    <d v="2024-12-01T00:00:00"/>
    <x v="4"/>
    <x v="11"/>
    <n v="9907"/>
    <n v="48044"/>
    <n v="64000"/>
    <n v="15956"/>
    <n v="0.24931249999999999"/>
    <x v="6"/>
    <n v="9496"/>
  </r>
  <r>
    <d v="2024-12-01T00:00:00"/>
    <x v="4"/>
    <x v="11"/>
    <n v="9907"/>
    <n v="48044"/>
    <n v="64000"/>
    <n v="15956"/>
    <n v="0.24931249999999999"/>
    <x v="7"/>
    <n v="6000"/>
  </r>
  <r>
    <d v="2024-12-01T00:00:00"/>
    <x v="4"/>
    <x v="11"/>
    <n v="9907"/>
    <n v="48044"/>
    <n v="64000"/>
    <n v="15956"/>
    <n v="0.24931249999999999"/>
    <x v="8"/>
    <n v="2228"/>
  </r>
  <r>
    <d v="2024-12-01T00:00:00"/>
    <x v="4"/>
    <x v="11"/>
    <n v="9907"/>
    <n v="48044"/>
    <n v="64000"/>
    <n v="15956"/>
    <n v="0.24931249999999999"/>
    <x v="9"/>
    <n v="2300"/>
  </r>
  <r>
    <d v="2025-01-01T00:00:00"/>
    <x v="5"/>
    <x v="0"/>
    <n v="11369"/>
    <n v="47179"/>
    <n v="64000"/>
    <n v="16821"/>
    <n v="0.26282812500000002"/>
    <x v="0"/>
    <n v="7892"/>
  </r>
  <r>
    <d v="2025-01-01T00:00:00"/>
    <x v="5"/>
    <x v="0"/>
    <n v="11369"/>
    <n v="47179"/>
    <n v="64000"/>
    <n v="16821"/>
    <n v="0.26282812500000002"/>
    <x v="1"/>
    <n v="13000"/>
  </r>
  <r>
    <d v="2025-01-01T00:00:00"/>
    <x v="5"/>
    <x v="0"/>
    <n v="11369"/>
    <n v="47179"/>
    <n v="64000"/>
    <n v="16821"/>
    <n v="0.26282812500000002"/>
    <x v="2"/>
    <n v="2419"/>
  </r>
  <r>
    <d v="2025-01-01T00:00:00"/>
    <x v="5"/>
    <x v="0"/>
    <n v="11369"/>
    <n v="47179"/>
    <n v="64000"/>
    <n v="16821"/>
    <n v="0.26282812500000002"/>
    <x v="3"/>
    <n v="891"/>
  </r>
  <r>
    <d v="2025-01-01T00:00:00"/>
    <x v="5"/>
    <x v="0"/>
    <n v="11369"/>
    <n v="47179"/>
    <n v="64000"/>
    <n v="16821"/>
    <n v="0.26282812500000002"/>
    <x v="4"/>
    <n v="2238"/>
  </r>
  <r>
    <d v="2025-01-01T00:00:00"/>
    <x v="5"/>
    <x v="0"/>
    <n v="11369"/>
    <n v="47179"/>
    <n v="64000"/>
    <n v="16821"/>
    <n v="0.26282812500000002"/>
    <x v="5"/>
    <n v="1956"/>
  </r>
  <r>
    <d v="2025-01-01T00:00:00"/>
    <x v="5"/>
    <x v="0"/>
    <n v="11369"/>
    <n v="47179"/>
    <n v="64000"/>
    <n v="16821"/>
    <n v="0.26282812500000002"/>
    <x v="6"/>
    <n v="7590"/>
  </r>
  <r>
    <d v="2025-01-01T00:00:00"/>
    <x v="5"/>
    <x v="0"/>
    <n v="11369"/>
    <n v="47179"/>
    <n v="64000"/>
    <n v="16821"/>
    <n v="0.26282812500000002"/>
    <x v="7"/>
    <n v="6000"/>
  </r>
  <r>
    <d v="2025-01-01T00:00:00"/>
    <x v="5"/>
    <x v="0"/>
    <n v="11369"/>
    <n v="47179"/>
    <n v="64000"/>
    <n v="16821"/>
    <n v="0.26282812500000002"/>
    <x v="8"/>
    <n v="2622"/>
  </r>
  <r>
    <d v="2025-01-01T00:00:00"/>
    <x v="5"/>
    <x v="0"/>
    <n v="11369"/>
    <n v="47179"/>
    <n v="64000"/>
    <n v="16821"/>
    <n v="0.26282812500000002"/>
    <x v="9"/>
    <n v="2571"/>
  </r>
  <r>
    <d v="2025-02-01T00:00:00"/>
    <x v="5"/>
    <x v="1"/>
    <n v="7059"/>
    <n v="41161"/>
    <n v="64000"/>
    <n v="22839"/>
    <n v="0.35685937499999998"/>
    <x v="0"/>
    <n v="7687"/>
  </r>
  <r>
    <d v="2025-02-01T00:00:00"/>
    <x v="5"/>
    <x v="1"/>
    <n v="7059"/>
    <n v="41161"/>
    <n v="64000"/>
    <n v="22839"/>
    <n v="0.35685937499999998"/>
    <x v="1"/>
    <n v="13000"/>
  </r>
  <r>
    <d v="2025-02-01T00:00:00"/>
    <x v="5"/>
    <x v="1"/>
    <n v="7059"/>
    <n v="41161"/>
    <n v="64000"/>
    <n v="22839"/>
    <n v="0.35685937499999998"/>
    <x v="2"/>
    <n v="2713"/>
  </r>
  <r>
    <d v="2025-02-01T00:00:00"/>
    <x v="5"/>
    <x v="1"/>
    <n v="7059"/>
    <n v="41161"/>
    <n v="64000"/>
    <n v="22839"/>
    <n v="0.35685937499999998"/>
    <x v="3"/>
    <n v="923"/>
  </r>
  <r>
    <d v="2025-02-01T00:00:00"/>
    <x v="5"/>
    <x v="1"/>
    <n v="7059"/>
    <n v="41161"/>
    <n v="64000"/>
    <n v="22839"/>
    <n v="0.35685937499999998"/>
    <x v="4"/>
    <n v="1536"/>
  </r>
  <r>
    <d v="2025-02-01T00:00:00"/>
    <x v="5"/>
    <x v="1"/>
    <n v="7059"/>
    <n v="41161"/>
    <n v="64000"/>
    <n v="22839"/>
    <n v="0.35685937499999998"/>
    <x v="5"/>
    <n v="2162"/>
  </r>
  <r>
    <d v="2025-02-01T00:00:00"/>
    <x v="5"/>
    <x v="1"/>
    <n v="7059"/>
    <n v="41161"/>
    <n v="64000"/>
    <n v="22839"/>
    <n v="0.35685937499999998"/>
    <x v="6"/>
    <n v="8814"/>
  </r>
  <r>
    <d v="2025-02-01T00:00:00"/>
    <x v="5"/>
    <x v="1"/>
    <n v="7059"/>
    <n v="41161"/>
    <n v="64000"/>
    <n v="22839"/>
    <n v="0.35685937499999998"/>
    <x v="7"/>
    <n v="0"/>
  </r>
  <r>
    <d v="2025-02-01T00:00:00"/>
    <x v="5"/>
    <x v="1"/>
    <n v="7059"/>
    <n v="41161"/>
    <n v="64000"/>
    <n v="22839"/>
    <n v="0.35685937499999998"/>
    <x v="8"/>
    <n v="3048"/>
  </r>
  <r>
    <d v="2025-02-01T00:00:00"/>
    <x v="5"/>
    <x v="1"/>
    <n v="7059"/>
    <n v="41161"/>
    <n v="64000"/>
    <n v="22839"/>
    <n v="0.35685937499999998"/>
    <x v="9"/>
    <n v="1278"/>
  </r>
  <r>
    <d v="2025-03-01T00:00:00"/>
    <x v="5"/>
    <x v="2"/>
    <n v="8890"/>
    <n v="40773"/>
    <n v="64000"/>
    <n v="23227"/>
    <n v="0.362921875"/>
    <x v="0"/>
    <n v="7296"/>
  </r>
  <r>
    <d v="2025-03-01T00:00:00"/>
    <x v="5"/>
    <x v="2"/>
    <n v="8890"/>
    <n v="40773"/>
    <n v="64000"/>
    <n v="23227"/>
    <n v="0.362921875"/>
    <x v="1"/>
    <n v="13000"/>
  </r>
  <r>
    <d v="2025-03-01T00:00:00"/>
    <x v="5"/>
    <x v="2"/>
    <n v="8890"/>
    <n v="40773"/>
    <n v="64000"/>
    <n v="23227"/>
    <n v="0.362921875"/>
    <x v="2"/>
    <n v="2095"/>
  </r>
  <r>
    <d v="2025-03-01T00:00:00"/>
    <x v="5"/>
    <x v="2"/>
    <n v="8890"/>
    <n v="40773"/>
    <n v="64000"/>
    <n v="23227"/>
    <n v="0.362921875"/>
    <x v="3"/>
    <n v="1067"/>
  </r>
  <r>
    <d v="2025-03-01T00:00:00"/>
    <x v="5"/>
    <x v="2"/>
    <n v="8890"/>
    <n v="40773"/>
    <n v="64000"/>
    <n v="23227"/>
    <n v="0.362921875"/>
    <x v="4"/>
    <n v="2228"/>
  </r>
  <r>
    <d v="2025-03-01T00:00:00"/>
    <x v="5"/>
    <x v="2"/>
    <n v="8890"/>
    <n v="40773"/>
    <n v="64000"/>
    <n v="23227"/>
    <n v="0.362921875"/>
    <x v="5"/>
    <n v="1561"/>
  </r>
  <r>
    <d v="2025-03-01T00:00:00"/>
    <x v="5"/>
    <x v="2"/>
    <n v="8890"/>
    <n v="40773"/>
    <n v="64000"/>
    <n v="23227"/>
    <n v="0.362921875"/>
    <x v="6"/>
    <n v="9265"/>
  </r>
  <r>
    <d v="2025-03-01T00:00:00"/>
    <x v="5"/>
    <x v="2"/>
    <n v="8890"/>
    <n v="40773"/>
    <n v="64000"/>
    <n v="23227"/>
    <n v="0.362921875"/>
    <x v="7"/>
    <n v="0"/>
  </r>
  <r>
    <d v="2025-03-01T00:00:00"/>
    <x v="5"/>
    <x v="2"/>
    <n v="8890"/>
    <n v="40773"/>
    <n v="64000"/>
    <n v="23227"/>
    <n v="0.362921875"/>
    <x v="8"/>
    <n v="2865"/>
  </r>
  <r>
    <d v="2025-03-01T00:00:00"/>
    <x v="5"/>
    <x v="2"/>
    <n v="8890"/>
    <n v="40773"/>
    <n v="64000"/>
    <n v="23227"/>
    <n v="0.362921875"/>
    <x v="9"/>
    <n v="1396"/>
  </r>
  <r>
    <d v="2025-04-01T00:00:00"/>
    <x v="5"/>
    <x v="3"/>
    <n v="10731"/>
    <n v="39451"/>
    <n v="64000"/>
    <n v="24549"/>
    <n v="0.38357812499999999"/>
    <x v="0"/>
    <n v="6395"/>
  </r>
  <r>
    <d v="2025-04-01T00:00:00"/>
    <x v="5"/>
    <x v="3"/>
    <n v="10731"/>
    <n v="39451"/>
    <n v="64000"/>
    <n v="24549"/>
    <n v="0.38357812499999999"/>
    <x v="1"/>
    <n v="13000"/>
  </r>
  <r>
    <d v="2025-04-01T00:00:00"/>
    <x v="5"/>
    <x v="3"/>
    <n v="10731"/>
    <n v="39451"/>
    <n v="64000"/>
    <n v="24549"/>
    <n v="0.38357812499999999"/>
    <x v="2"/>
    <n v="2756"/>
  </r>
  <r>
    <d v="2025-04-01T00:00:00"/>
    <x v="5"/>
    <x v="3"/>
    <n v="10731"/>
    <n v="39451"/>
    <n v="64000"/>
    <n v="24549"/>
    <n v="0.38357812499999999"/>
    <x v="3"/>
    <n v="1102"/>
  </r>
  <r>
    <d v="2025-04-01T00:00:00"/>
    <x v="5"/>
    <x v="3"/>
    <n v="10731"/>
    <n v="39451"/>
    <n v="64000"/>
    <n v="24549"/>
    <n v="0.38357812499999999"/>
    <x v="4"/>
    <n v="1575"/>
  </r>
  <r>
    <d v="2025-04-01T00:00:00"/>
    <x v="5"/>
    <x v="3"/>
    <n v="10731"/>
    <n v="39451"/>
    <n v="64000"/>
    <n v="24549"/>
    <n v="0.38357812499999999"/>
    <x v="5"/>
    <n v="1944"/>
  </r>
  <r>
    <d v="2025-04-01T00:00:00"/>
    <x v="5"/>
    <x v="3"/>
    <n v="10731"/>
    <n v="39451"/>
    <n v="64000"/>
    <n v="24549"/>
    <n v="0.38357812499999999"/>
    <x v="6"/>
    <n v="9461"/>
  </r>
  <r>
    <d v="2025-04-01T00:00:00"/>
    <x v="5"/>
    <x v="3"/>
    <n v="10731"/>
    <n v="39451"/>
    <n v="64000"/>
    <n v="24549"/>
    <n v="0.38357812499999999"/>
    <x v="7"/>
    <n v="0"/>
  </r>
  <r>
    <d v="2025-04-01T00:00:00"/>
    <x v="5"/>
    <x v="3"/>
    <n v="10731"/>
    <n v="39451"/>
    <n v="64000"/>
    <n v="24549"/>
    <n v="0.38357812499999999"/>
    <x v="8"/>
    <n v="1764"/>
  </r>
  <r>
    <d v="2025-04-01T00:00:00"/>
    <x v="5"/>
    <x v="3"/>
    <n v="10731"/>
    <n v="39451"/>
    <n v="64000"/>
    <n v="24549"/>
    <n v="0.38357812499999999"/>
    <x v="9"/>
    <n v="1454"/>
  </r>
  <r>
    <d v="2025-05-01T00:00:00"/>
    <x v="5"/>
    <x v="4"/>
    <n v="7761"/>
    <n v="39137"/>
    <n v="64000"/>
    <n v="24863"/>
    <n v="0.38848437499999999"/>
    <x v="0"/>
    <n v="6850"/>
  </r>
  <r>
    <d v="2025-05-01T00:00:00"/>
    <x v="5"/>
    <x v="4"/>
    <n v="7761"/>
    <n v="39137"/>
    <n v="64000"/>
    <n v="24863"/>
    <n v="0.38848437499999999"/>
    <x v="1"/>
    <n v="13000"/>
  </r>
  <r>
    <d v="2025-05-01T00:00:00"/>
    <x v="5"/>
    <x v="4"/>
    <n v="7761"/>
    <n v="39137"/>
    <n v="64000"/>
    <n v="24863"/>
    <n v="0.38848437499999999"/>
    <x v="2"/>
    <n v="1643"/>
  </r>
  <r>
    <d v="2025-05-01T00:00:00"/>
    <x v="5"/>
    <x v="4"/>
    <n v="7761"/>
    <n v="39137"/>
    <n v="64000"/>
    <n v="24863"/>
    <n v="0.38848437499999999"/>
    <x v="3"/>
    <n v="1072"/>
  </r>
  <r>
    <d v="2025-05-01T00:00:00"/>
    <x v="5"/>
    <x v="4"/>
    <n v="7761"/>
    <n v="39137"/>
    <n v="64000"/>
    <n v="24863"/>
    <n v="0.38848437499999999"/>
    <x v="4"/>
    <n v="1568"/>
  </r>
  <r>
    <d v="2025-05-01T00:00:00"/>
    <x v="5"/>
    <x v="4"/>
    <n v="7761"/>
    <n v="39137"/>
    <n v="64000"/>
    <n v="24863"/>
    <n v="0.38848437499999999"/>
    <x v="5"/>
    <n v="2890"/>
  </r>
  <r>
    <d v="2025-05-01T00:00:00"/>
    <x v="5"/>
    <x v="4"/>
    <n v="7761"/>
    <n v="39137"/>
    <n v="64000"/>
    <n v="24863"/>
    <n v="0.38848437499999999"/>
    <x v="6"/>
    <n v="8171"/>
  </r>
  <r>
    <d v="2025-05-01T00:00:00"/>
    <x v="5"/>
    <x v="4"/>
    <n v="7761"/>
    <n v="39137"/>
    <n v="64000"/>
    <n v="24863"/>
    <n v="0.38848437499999999"/>
    <x v="7"/>
    <n v="0"/>
  </r>
  <r>
    <d v="2025-05-01T00:00:00"/>
    <x v="5"/>
    <x v="4"/>
    <n v="7761"/>
    <n v="39137"/>
    <n v="64000"/>
    <n v="24863"/>
    <n v="0.38848437499999999"/>
    <x v="8"/>
    <n v="1895"/>
  </r>
  <r>
    <d v="2025-05-01T00:00:00"/>
    <x v="5"/>
    <x v="4"/>
    <n v="7761"/>
    <n v="39137"/>
    <n v="64000"/>
    <n v="24863"/>
    <n v="0.38848437499999999"/>
    <x v="9"/>
    <n v="2048"/>
  </r>
  <r>
    <d v="2025-06-01T00:00:00"/>
    <x v="5"/>
    <x v="5"/>
    <n v="9916"/>
    <n v="39155"/>
    <n v="64000"/>
    <n v="24845"/>
    <n v="0.38820312499999998"/>
    <x v="0"/>
    <n v="7167"/>
  </r>
  <r>
    <d v="2025-06-01T00:00:00"/>
    <x v="5"/>
    <x v="5"/>
    <n v="9916"/>
    <n v="39155"/>
    <n v="64000"/>
    <n v="24845"/>
    <n v="0.38820312499999998"/>
    <x v="1"/>
    <n v="13000"/>
  </r>
  <r>
    <d v="2025-06-01T00:00:00"/>
    <x v="5"/>
    <x v="5"/>
    <n v="9916"/>
    <n v="39155"/>
    <n v="64000"/>
    <n v="24845"/>
    <n v="0.38820312499999998"/>
    <x v="2"/>
    <n v="2562"/>
  </r>
  <r>
    <d v="2025-06-01T00:00:00"/>
    <x v="5"/>
    <x v="5"/>
    <n v="9916"/>
    <n v="39155"/>
    <n v="64000"/>
    <n v="24845"/>
    <n v="0.38820312499999998"/>
    <x v="3"/>
    <n v="808"/>
  </r>
  <r>
    <d v="2025-06-01T00:00:00"/>
    <x v="5"/>
    <x v="5"/>
    <n v="9916"/>
    <n v="39155"/>
    <n v="64000"/>
    <n v="24845"/>
    <n v="0.38820312499999998"/>
    <x v="4"/>
    <n v="2192"/>
  </r>
  <r>
    <d v="2025-06-01T00:00:00"/>
    <x v="5"/>
    <x v="5"/>
    <n v="9916"/>
    <n v="39155"/>
    <n v="64000"/>
    <n v="24845"/>
    <n v="0.38820312499999998"/>
    <x v="5"/>
    <n v="2068"/>
  </r>
  <r>
    <d v="2025-06-01T00:00:00"/>
    <x v="5"/>
    <x v="5"/>
    <n v="9916"/>
    <n v="39155"/>
    <n v="64000"/>
    <n v="24845"/>
    <n v="0.38820312499999998"/>
    <x v="6"/>
    <n v="6584"/>
  </r>
  <r>
    <d v="2025-06-01T00:00:00"/>
    <x v="5"/>
    <x v="5"/>
    <n v="9916"/>
    <n v="39155"/>
    <n v="64000"/>
    <n v="24845"/>
    <n v="0.38820312499999998"/>
    <x v="7"/>
    <n v="0"/>
  </r>
  <r>
    <d v="2025-06-01T00:00:00"/>
    <x v="5"/>
    <x v="5"/>
    <n v="9916"/>
    <n v="39155"/>
    <n v="64000"/>
    <n v="24845"/>
    <n v="0.38820312499999998"/>
    <x v="8"/>
    <n v="2565"/>
  </r>
  <r>
    <d v="2025-06-01T00:00:00"/>
    <x v="5"/>
    <x v="5"/>
    <n v="9916"/>
    <n v="39155"/>
    <n v="64000"/>
    <n v="24845"/>
    <n v="0.38820312499999998"/>
    <x v="9"/>
    <n v="2209"/>
  </r>
  <r>
    <d v="2025-07-01T00:00:00"/>
    <x v="5"/>
    <x v="6"/>
    <n v="11756"/>
    <n v="40672"/>
    <n v="64000"/>
    <n v="23328"/>
    <n v="0.36449999999999999"/>
    <x v="0"/>
    <n v="7156"/>
  </r>
  <r>
    <d v="2025-07-01T00:00:00"/>
    <x v="5"/>
    <x v="6"/>
    <n v="11756"/>
    <n v="40672"/>
    <n v="64000"/>
    <n v="23328"/>
    <n v="0.36449999999999999"/>
    <x v="1"/>
    <n v="13000"/>
  </r>
  <r>
    <d v="2025-07-01T00:00:00"/>
    <x v="5"/>
    <x v="6"/>
    <n v="11756"/>
    <n v="40672"/>
    <n v="64000"/>
    <n v="23328"/>
    <n v="0.36449999999999999"/>
    <x v="2"/>
    <n v="2738"/>
  </r>
  <r>
    <d v="2025-07-01T00:00:00"/>
    <x v="5"/>
    <x v="6"/>
    <n v="11756"/>
    <n v="40672"/>
    <n v="64000"/>
    <n v="23328"/>
    <n v="0.36449999999999999"/>
    <x v="3"/>
    <n v="920"/>
  </r>
  <r>
    <d v="2025-07-01T00:00:00"/>
    <x v="5"/>
    <x v="6"/>
    <n v="11756"/>
    <n v="40672"/>
    <n v="64000"/>
    <n v="23328"/>
    <n v="0.36449999999999999"/>
    <x v="4"/>
    <n v="1734"/>
  </r>
  <r>
    <d v="2025-07-01T00:00:00"/>
    <x v="5"/>
    <x v="6"/>
    <n v="11756"/>
    <n v="40672"/>
    <n v="64000"/>
    <n v="23328"/>
    <n v="0.36449999999999999"/>
    <x v="5"/>
    <n v="2686"/>
  </r>
  <r>
    <d v="2025-07-01T00:00:00"/>
    <x v="5"/>
    <x v="6"/>
    <n v="11756"/>
    <n v="40672"/>
    <n v="64000"/>
    <n v="23328"/>
    <n v="0.36449999999999999"/>
    <x v="6"/>
    <n v="8601"/>
  </r>
  <r>
    <d v="2025-07-01T00:00:00"/>
    <x v="5"/>
    <x v="6"/>
    <n v="11756"/>
    <n v="40672"/>
    <n v="64000"/>
    <n v="23328"/>
    <n v="0.36449999999999999"/>
    <x v="7"/>
    <n v="0"/>
  </r>
  <r>
    <d v="2025-07-01T00:00:00"/>
    <x v="5"/>
    <x v="6"/>
    <n v="11756"/>
    <n v="40672"/>
    <n v="64000"/>
    <n v="23328"/>
    <n v="0.36449999999999999"/>
    <x v="8"/>
    <n v="2250"/>
  </r>
  <r>
    <d v="2025-07-01T00:00:00"/>
    <x v="5"/>
    <x v="6"/>
    <n v="11756"/>
    <n v="40672"/>
    <n v="64000"/>
    <n v="23328"/>
    <n v="0.36449999999999999"/>
    <x v="9"/>
    <n v="1587"/>
  </r>
  <r>
    <d v="2025-08-01T00:00:00"/>
    <x v="5"/>
    <x v="7"/>
    <n v="11659"/>
    <n v="41867"/>
    <n v="64000"/>
    <n v="22133"/>
    <n v="0.34582812499999999"/>
    <x v="0"/>
    <n v="8960"/>
  </r>
  <r>
    <d v="2025-08-01T00:00:00"/>
    <x v="5"/>
    <x v="7"/>
    <n v="11659"/>
    <n v="41867"/>
    <n v="64000"/>
    <n v="22133"/>
    <n v="0.34582812499999999"/>
    <x v="1"/>
    <n v="13000"/>
  </r>
  <r>
    <d v="2025-08-01T00:00:00"/>
    <x v="5"/>
    <x v="7"/>
    <n v="11659"/>
    <n v="41867"/>
    <n v="64000"/>
    <n v="22133"/>
    <n v="0.34582812499999999"/>
    <x v="2"/>
    <n v="2753"/>
  </r>
  <r>
    <d v="2025-08-01T00:00:00"/>
    <x v="5"/>
    <x v="7"/>
    <n v="11659"/>
    <n v="41867"/>
    <n v="64000"/>
    <n v="22133"/>
    <n v="0.34582812499999999"/>
    <x v="3"/>
    <n v="706"/>
  </r>
  <r>
    <d v="2025-08-01T00:00:00"/>
    <x v="5"/>
    <x v="7"/>
    <n v="11659"/>
    <n v="41867"/>
    <n v="64000"/>
    <n v="22133"/>
    <n v="0.34582812499999999"/>
    <x v="4"/>
    <n v="1673"/>
  </r>
  <r>
    <d v="2025-08-01T00:00:00"/>
    <x v="5"/>
    <x v="7"/>
    <n v="11659"/>
    <n v="41867"/>
    <n v="64000"/>
    <n v="22133"/>
    <n v="0.34582812499999999"/>
    <x v="5"/>
    <n v="2776"/>
  </r>
  <r>
    <d v="2025-08-01T00:00:00"/>
    <x v="5"/>
    <x v="7"/>
    <n v="11659"/>
    <n v="41867"/>
    <n v="64000"/>
    <n v="22133"/>
    <n v="0.34582812499999999"/>
    <x v="6"/>
    <n v="6632"/>
  </r>
  <r>
    <d v="2025-08-01T00:00:00"/>
    <x v="5"/>
    <x v="7"/>
    <n v="11659"/>
    <n v="41867"/>
    <n v="64000"/>
    <n v="22133"/>
    <n v="0.34582812499999999"/>
    <x v="7"/>
    <n v="0"/>
  </r>
  <r>
    <d v="2025-08-01T00:00:00"/>
    <x v="5"/>
    <x v="7"/>
    <n v="11659"/>
    <n v="41867"/>
    <n v="64000"/>
    <n v="22133"/>
    <n v="0.34582812499999999"/>
    <x v="8"/>
    <n v="3176"/>
  </r>
  <r>
    <d v="2025-08-01T00:00:00"/>
    <x v="5"/>
    <x v="7"/>
    <n v="11659"/>
    <n v="41867"/>
    <n v="64000"/>
    <n v="22133"/>
    <n v="0.34582812499999999"/>
    <x v="9"/>
    <n v="2191"/>
  </r>
  <r>
    <d v="2025-09-01T00:00:00"/>
    <x v="5"/>
    <x v="8"/>
    <n v="11924"/>
    <n v="42373"/>
    <n v="64000"/>
    <n v="21627"/>
    <n v="0.33792187499999998"/>
    <x v="0"/>
    <n v="8681"/>
  </r>
  <r>
    <d v="2025-09-01T00:00:00"/>
    <x v="5"/>
    <x v="8"/>
    <n v="11924"/>
    <n v="42373"/>
    <n v="64000"/>
    <n v="21627"/>
    <n v="0.33792187499999998"/>
    <x v="1"/>
    <n v="13000"/>
  </r>
  <r>
    <d v="2025-09-01T00:00:00"/>
    <x v="5"/>
    <x v="8"/>
    <n v="11924"/>
    <n v="42373"/>
    <n v="64000"/>
    <n v="21627"/>
    <n v="0.33792187499999998"/>
    <x v="2"/>
    <n v="3040"/>
  </r>
  <r>
    <d v="2025-09-01T00:00:00"/>
    <x v="5"/>
    <x v="8"/>
    <n v="11924"/>
    <n v="42373"/>
    <n v="64000"/>
    <n v="21627"/>
    <n v="0.33792187499999998"/>
    <x v="3"/>
    <n v="728"/>
  </r>
  <r>
    <d v="2025-09-01T00:00:00"/>
    <x v="5"/>
    <x v="8"/>
    <n v="11924"/>
    <n v="42373"/>
    <n v="64000"/>
    <n v="21627"/>
    <n v="0.33792187499999998"/>
    <x v="4"/>
    <n v="1664"/>
  </r>
  <r>
    <d v="2025-09-01T00:00:00"/>
    <x v="5"/>
    <x v="8"/>
    <n v="11924"/>
    <n v="42373"/>
    <n v="64000"/>
    <n v="21627"/>
    <n v="0.33792187499999998"/>
    <x v="5"/>
    <n v="2717"/>
  </r>
  <r>
    <d v="2025-09-01T00:00:00"/>
    <x v="5"/>
    <x v="8"/>
    <n v="11924"/>
    <n v="42373"/>
    <n v="64000"/>
    <n v="21627"/>
    <n v="0.33792187499999998"/>
    <x v="6"/>
    <n v="8260"/>
  </r>
  <r>
    <d v="2025-09-01T00:00:00"/>
    <x v="5"/>
    <x v="8"/>
    <n v="11924"/>
    <n v="42373"/>
    <n v="64000"/>
    <n v="21627"/>
    <n v="0.33792187499999998"/>
    <x v="7"/>
    <n v="0"/>
  </r>
  <r>
    <d v="2025-09-01T00:00:00"/>
    <x v="5"/>
    <x v="8"/>
    <n v="11924"/>
    <n v="42373"/>
    <n v="64000"/>
    <n v="21627"/>
    <n v="0.33792187499999998"/>
    <x v="8"/>
    <n v="2945"/>
  </r>
  <r>
    <d v="2025-09-01T00:00:00"/>
    <x v="5"/>
    <x v="8"/>
    <n v="11924"/>
    <n v="42373"/>
    <n v="64000"/>
    <n v="21627"/>
    <n v="0.33792187499999998"/>
    <x v="9"/>
    <n v="133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d v="2020-01-01T00:00:00"/>
    <x v="0"/>
    <x v="0"/>
    <n v="4860"/>
    <n v="10000"/>
    <n v="2595"/>
    <n v="888"/>
    <n v="1520"/>
    <n v="1930"/>
    <n v="4311"/>
    <n v="0"/>
    <n v="3138"/>
    <n v="1121"/>
    <n v="4232"/>
    <n v="30363"/>
    <n v="40000"/>
    <n v="9637"/>
    <n v="0.240925"/>
  </r>
  <r>
    <d v="2020-02-01T00:00:00"/>
    <x v="0"/>
    <x v="1"/>
    <n v="6135"/>
    <n v="10000"/>
    <n v="2371"/>
    <n v="851"/>
    <n v="1630"/>
    <n v="1923"/>
    <n v="5939"/>
    <n v="0"/>
    <n v="3185"/>
    <n v="2332"/>
    <n v="7329"/>
    <n v="34366"/>
    <n v="40000"/>
    <n v="5634"/>
    <n v="0.14085"/>
  </r>
  <r>
    <d v="2020-03-01T00:00:00"/>
    <x v="0"/>
    <x v="2"/>
    <n v="6853"/>
    <n v="10000"/>
    <n v="2715"/>
    <n v="1143"/>
    <n v="1776"/>
    <n v="1185"/>
    <n v="4700"/>
    <n v="0"/>
    <n v="2684"/>
    <n v="1459"/>
    <n v="3625"/>
    <n v="32515"/>
    <n v="36000"/>
    <n v="3485"/>
    <n v="9.6805555555555561E-2"/>
  </r>
  <r>
    <d v="2020-04-01T00:00:00"/>
    <x v="0"/>
    <x v="3"/>
    <n v="6904"/>
    <n v="10000"/>
    <n v="2582"/>
    <n v="869"/>
    <n v="1975"/>
    <n v="1274"/>
    <n v="4420"/>
    <n v="0"/>
    <n v="2475"/>
    <n v="2806"/>
    <n v="6426"/>
    <n v="33305"/>
    <n v="36000"/>
    <n v="2695"/>
    <n v="7.4861111111111114E-2"/>
  </r>
  <r>
    <d v="2020-05-01T00:00:00"/>
    <x v="0"/>
    <x v="4"/>
    <n v="4562"/>
    <n v="10000"/>
    <n v="3028"/>
    <n v="830"/>
    <n v="1984"/>
    <n v="1631"/>
    <n v="4410"/>
    <n v="0"/>
    <n v="2146"/>
    <n v="1020"/>
    <n v="3647"/>
    <n v="29611"/>
    <n v="36000"/>
    <n v="6389"/>
    <n v="0.17747222222222223"/>
  </r>
  <r>
    <d v="2020-06-01T00:00:00"/>
    <x v="0"/>
    <x v="5"/>
    <n v="4600"/>
    <n v="10000"/>
    <n v="1513"/>
    <n v="941"/>
    <n v="2276"/>
    <n v="1115"/>
    <n v="4392"/>
    <n v="0"/>
    <n v="2863"/>
    <n v="1091"/>
    <n v="4039"/>
    <n v="28791"/>
    <n v="36000"/>
    <n v="7209"/>
    <n v="0.20025000000000001"/>
  </r>
  <r>
    <d v="2020-07-01T00:00:00"/>
    <x v="0"/>
    <x v="6"/>
    <n v="6556"/>
    <n v="10000"/>
    <n v="3466"/>
    <n v="734"/>
    <n v="1705"/>
    <n v="1575"/>
    <n v="4792"/>
    <n v="0"/>
    <n v="3455"/>
    <n v="2585"/>
    <n v="4722"/>
    <n v="34868"/>
    <n v="36000"/>
    <n v="1132"/>
    <n v="3.1444444444444442E-2"/>
  </r>
  <r>
    <d v="2020-08-01T00:00:00"/>
    <x v="0"/>
    <x v="7"/>
    <n v="6613"/>
    <n v="10000"/>
    <n v="3295"/>
    <n v="1009"/>
    <n v="1976"/>
    <n v="1929"/>
    <n v="4995"/>
    <n v="0"/>
    <n v="2202"/>
    <n v="1401"/>
    <n v="6982"/>
    <n v="33420"/>
    <n v="36000"/>
    <n v="2580"/>
    <n v="7.166666666666667E-2"/>
  </r>
  <r>
    <d v="2020-09-01T00:00:00"/>
    <x v="0"/>
    <x v="8"/>
    <n v="5981"/>
    <n v="10000"/>
    <n v="1769"/>
    <n v="1050"/>
    <n v="2315"/>
    <n v="1795"/>
    <n v="3952"/>
    <n v="0"/>
    <n v="1955"/>
    <n v="2485"/>
    <n v="3762"/>
    <n v="31302"/>
    <n v="36000"/>
    <n v="4698"/>
    <n v="0.1305"/>
  </r>
  <r>
    <d v="2020-10-01T00:00:00"/>
    <x v="0"/>
    <x v="9"/>
    <n v="6343"/>
    <n v="10000"/>
    <n v="3272"/>
    <n v="1037"/>
    <n v="2378"/>
    <n v="1519"/>
    <n v="4242"/>
    <n v="0"/>
    <n v="2576"/>
    <n v="1791"/>
    <n v="4611"/>
    <n v="33158"/>
    <n v="36000"/>
    <n v="2842"/>
    <n v="7.8944444444444442E-2"/>
  </r>
  <r>
    <d v="2020-11-01T00:00:00"/>
    <x v="0"/>
    <x v="10"/>
    <n v="4379"/>
    <n v="10000"/>
    <n v="2564"/>
    <n v="856"/>
    <n v="1514"/>
    <n v="1292"/>
    <n v="5376"/>
    <n v="0"/>
    <n v="1564"/>
    <n v="2880"/>
    <n v="6380"/>
    <n v="30425"/>
    <n v="36000"/>
    <n v="5575"/>
    <n v="0.15486111111111112"/>
  </r>
  <r>
    <d v="2020-12-01T00:00:00"/>
    <x v="0"/>
    <x v="11"/>
    <n v="6027"/>
    <n v="10000"/>
    <n v="2995"/>
    <n v="762"/>
    <n v="1638"/>
    <n v="1447"/>
    <n v="4880"/>
    <n v="0"/>
    <n v="3022"/>
    <n v="1592"/>
    <n v="6444"/>
    <n v="32363"/>
    <n v="36000"/>
    <n v="3637"/>
    <n v="0.10102777777777777"/>
  </r>
  <r>
    <d v="2021-01-01T00:00:00"/>
    <x v="1"/>
    <x v="0"/>
    <n v="4378"/>
    <n v="10000"/>
    <n v="2517"/>
    <n v="740"/>
    <n v="1527"/>
    <n v="1030"/>
    <n v="4721"/>
    <n v="0"/>
    <n v="3682"/>
    <n v="1200"/>
    <n v="4791"/>
    <n v="29795"/>
    <n v="36000"/>
    <n v="6205"/>
    <n v="0.1723611111111111"/>
  </r>
  <r>
    <d v="2021-02-01T00:00:00"/>
    <x v="1"/>
    <x v="1"/>
    <n v="4502"/>
    <n v="10000"/>
    <n v="3097"/>
    <n v="915"/>
    <n v="2304"/>
    <n v="1206"/>
    <n v="4747"/>
    <n v="0"/>
    <n v="3646"/>
    <n v="1683"/>
    <n v="6793"/>
    <n v="32100"/>
    <n v="36000"/>
    <n v="3900"/>
    <n v="0.10833333333333334"/>
  </r>
  <r>
    <d v="2021-03-01T00:00:00"/>
    <x v="1"/>
    <x v="2"/>
    <n v="4960"/>
    <n v="10000"/>
    <n v="3466"/>
    <n v="1161"/>
    <n v="2142"/>
    <n v="1412"/>
    <n v="4024"/>
    <n v="0"/>
    <n v="2528"/>
    <n v="2241"/>
    <n v="4521"/>
    <n v="31934"/>
    <n v="36000"/>
    <n v="4066"/>
    <n v="0.11294444444444444"/>
  </r>
  <r>
    <d v="2021-04-01T00:00:00"/>
    <x v="1"/>
    <x v="3"/>
    <n v="6842"/>
    <n v="10000"/>
    <n v="1706"/>
    <n v="714"/>
    <n v="2357"/>
    <n v="1192"/>
    <n v="4387"/>
    <n v="0"/>
    <n v="2984"/>
    <n v="2714"/>
    <n v="7069"/>
    <n v="32896"/>
    <n v="43200"/>
    <n v="10304"/>
    <n v="0.23851851851851852"/>
  </r>
  <r>
    <d v="2021-05-01T00:00:00"/>
    <x v="1"/>
    <x v="4"/>
    <n v="4563"/>
    <n v="10000"/>
    <n v="1595"/>
    <n v="1087"/>
    <n v="2233"/>
    <n v="1820"/>
    <n v="5486"/>
    <n v="0"/>
    <n v="3778"/>
    <n v="1748"/>
    <n v="5197"/>
    <n v="32310"/>
    <n v="43200"/>
    <n v="10890"/>
    <n v="0.25208333333333333"/>
  </r>
  <r>
    <d v="2021-06-01T00:00:00"/>
    <x v="1"/>
    <x v="5"/>
    <n v="6572"/>
    <n v="10000"/>
    <n v="3362"/>
    <n v="886"/>
    <n v="1742"/>
    <n v="1983"/>
    <n v="5668"/>
    <n v="0"/>
    <n v="3319"/>
    <n v="1577"/>
    <n v="5597"/>
    <n v="35109"/>
    <n v="43200"/>
    <n v="8091"/>
    <n v="0.18729166666666666"/>
  </r>
  <r>
    <d v="2021-07-01T00:00:00"/>
    <x v="1"/>
    <x v="6"/>
    <n v="6693"/>
    <n v="10000"/>
    <n v="2551"/>
    <n v="807"/>
    <n v="2055"/>
    <n v="1595"/>
    <n v="6227"/>
    <n v="0"/>
    <n v="2863"/>
    <n v="2821"/>
    <n v="5721"/>
    <n v="35612"/>
    <n v="43200"/>
    <n v="7588"/>
    <n v="0.17564814814814814"/>
  </r>
  <r>
    <d v="2021-08-01T00:00:00"/>
    <x v="1"/>
    <x v="7"/>
    <n v="6038"/>
    <n v="10000"/>
    <n v="2748"/>
    <n v="1084"/>
    <n v="1876"/>
    <n v="989"/>
    <n v="4321"/>
    <n v="0"/>
    <n v="2806"/>
    <n v="2981"/>
    <n v="5843"/>
    <n v="32843"/>
    <n v="43200"/>
    <n v="10357"/>
    <n v="0.23974537037037036"/>
  </r>
  <r>
    <d v="2021-09-01T00:00:00"/>
    <x v="1"/>
    <x v="8"/>
    <n v="5282"/>
    <n v="10000"/>
    <n v="2979"/>
    <n v="1110"/>
    <n v="2148"/>
    <n v="1509"/>
    <n v="5815"/>
    <n v="0"/>
    <n v="1817"/>
    <n v="2700"/>
    <n v="5483"/>
    <n v="33360"/>
    <n v="43200"/>
    <n v="9840"/>
    <n v="0.22777777777777777"/>
  </r>
  <r>
    <d v="2021-10-01T00:00:00"/>
    <x v="1"/>
    <x v="9"/>
    <n v="4663"/>
    <n v="10000"/>
    <n v="3353"/>
    <n v="1196"/>
    <n v="1941"/>
    <n v="1936"/>
    <n v="4863"/>
    <n v="0"/>
    <n v="2063"/>
    <n v="2291"/>
    <n v="6468"/>
    <n v="32306"/>
    <n v="43200"/>
    <n v="10894"/>
    <n v="0.25217592592592591"/>
  </r>
  <r>
    <d v="2021-11-01T00:00:00"/>
    <x v="1"/>
    <x v="10"/>
    <n v="5636"/>
    <n v="10000"/>
    <n v="2604"/>
    <n v="886"/>
    <n v="1612"/>
    <n v="1751"/>
    <n v="5207"/>
    <n v="0"/>
    <n v="1501"/>
    <n v="1641"/>
    <n v="4462"/>
    <n v="30838"/>
    <n v="43200"/>
    <n v="12362"/>
    <n v="0.28615740740740742"/>
  </r>
  <r>
    <d v="2021-12-01T00:00:00"/>
    <x v="1"/>
    <x v="11"/>
    <n v="5759"/>
    <n v="10000"/>
    <n v="2926"/>
    <n v="825"/>
    <n v="1629"/>
    <n v="1184"/>
    <n v="5287"/>
    <n v="0"/>
    <n v="2576"/>
    <n v="2707"/>
    <n v="6708"/>
    <n v="32893"/>
    <n v="43200"/>
    <n v="10307"/>
    <n v="0.23858796296296297"/>
  </r>
  <r>
    <d v="2022-01-01T00:00:00"/>
    <x v="2"/>
    <x v="0"/>
    <n v="6294"/>
    <n v="10000"/>
    <n v="2962"/>
    <n v="902"/>
    <n v="1683"/>
    <n v="1635"/>
    <n v="6547"/>
    <n v="0"/>
    <n v="1622"/>
    <n v="1400"/>
    <n v="6565"/>
    <n v="33045"/>
    <n v="48000"/>
    <n v="14955"/>
    <n v="0.31156250000000002"/>
  </r>
  <r>
    <d v="2022-02-01T00:00:00"/>
    <x v="2"/>
    <x v="1"/>
    <n v="6931"/>
    <n v="10000"/>
    <n v="2481"/>
    <n v="1094"/>
    <n v="2010"/>
    <n v="997"/>
    <n v="5161"/>
    <n v="0"/>
    <n v="3691"/>
    <n v="1608"/>
    <n v="7239"/>
    <n v="33973"/>
    <n v="48000"/>
    <n v="14027"/>
    <n v="0.29222916666666665"/>
  </r>
  <r>
    <d v="2022-03-01T00:00:00"/>
    <x v="2"/>
    <x v="2"/>
    <n v="6511"/>
    <n v="10000"/>
    <n v="2263"/>
    <n v="1142"/>
    <n v="2431"/>
    <n v="1459"/>
    <n v="6029"/>
    <n v="0"/>
    <n v="3950"/>
    <n v="2369"/>
    <n v="5887"/>
    <n v="36154"/>
    <n v="48000"/>
    <n v="11846"/>
    <n v="0.24679166666666666"/>
  </r>
  <r>
    <d v="2022-04-01T00:00:00"/>
    <x v="2"/>
    <x v="3"/>
    <n v="6911"/>
    <n v="10000"/>
    <n v="2428"/>
    <n v="1123"/>
    <n v="2139"/>
    <n v="1288"/>
    <n v="5130"/>
    <n v="0"/>
    <n v="3885"/>
    <n v="1871"/>
    <n v="6437"/>
    <n v="34775"/>
    <n v="48000"/>
    <n v="13225"/>
    <n v="0.27552083333333333"/>
  </r>
  <r>
    <d v="2022-05-01T00:00:00"/>
    <x v="2"/>
    <x v="4"/>
    <n v="6520"/>
    <n v="10000"/>
    <n v="2938"/>
    <n v="1177"/>
    <n v="1797"/>
    <n v="950"/>
    <n v="6383"/>
    <n v="0"/>
    <n v="3134"/>
    <n v="1262"/>
    <n v="8722"/>
    <n v="34161"/>
    <n v="48000"/>
    <n v="13839"/>
    <n v="0.28831250000000003"/>
  </r>
  <r>
    <d v="2022-06-01T00:00:00"/>
    <x v="2"/>
    <x v="5"/>
    <n v="5016"/>
    <n v="10000"/>
    <n v="1501"/>
    <n v="1084"/>
    <n v="1803"/>
    <n v="1680"/>
    <n v="6139"/>
    <n v="0"/>
    <n v="3801"/>
    <n v="2675"/>
    <n v="9036"/>
    <n v="33699"/>
    <n v="48000"/>
    <n v="14301"/>
    <n v="0.29793750000000002"/>
  </r>
  <r>
    <d v="2022-07-01T00:00:00"/>
    <x v="2"/>
    <x v="6"/>
    <n v="6056"/>
    <n v="10000"/>
    <n v="3182"/>
    <n v="1003"/>
    <n v="1707"/>
    <n v="1922"/>
    <n v="6929"/>
    <n v="0"/>
    <n v="2654"/>
    <n v="1403"/>
    <n v="8543"/>
    <n v="34856"/>
    <n v="48000"/>
    <n v="13144"/>
    <n v="0.27383333333333332"/>
  </r>
  <r>
    <d v="2022-08-01T00:00:00"/>
    <x v="2"/>
    <x v="7"/>
    <n v="4627"/>
    <n v="10000"/>
    <n v="3148"/>
    <n v="1155"/>
    <n v="1919"/>
    <n v="1386"/>
    <n v="6255"/>
    <n v="0"/>
    <n v="2945"/>
    <n v="1103"/>
    <n v="4844"/>
    <n v="32538"/>
    <n v="48000"/>
    <n v="15462"/>
    <n v="0.32212499999999999"/>
  </r>
  <r>
    <d v="2022-09-01T00:00:00"/>
    <x v="2"/>
    <x v="8"/>
    <n v="6557"/>
    <n v="10000"/>
    <n v="1652"/>
    <n v="1048"/>
    <n v="2413"/>
    <n v="898"/>
    <n v="6116"/>
    <n v="0"/>
    <n v="3419"/>
    <n v="1877"/>
    <n v="8121"/>
    <n v="33980"/>
    <n v="48000"/>
    <n v="14020"/>
    <n v="0.29208333333333331"/>
  </r>
  <r>
    <d v="2022-10-01T00:00:00"/>
    <x v="2"/>
    <x v="9"/>
    <n v="4956"/>
    <n v="10000"/>
    <n v="3103"/>
    <n v="988"/>
    <n v="1897"/>
    <n v="960"/>
    <n v="6591"/>
    <n v="0"/>
    <n v="2800"/>
    <n v="1815"/>
    <n v="7918"/>
    <n v="33110"/>
    <n v="48000"/>
    <n v="14890"/>
    <n v="0.31020833333333331"/>
  </r>
  <r>
    <d v="2022-11-01T00:00:00"/>
    <x v="2"/>
    <x v="10"/>
    <n v="5158"/>
    <n v="10000"/>
    <n v="2139"/>
    <n v="732"/>
    <n v="2187"/>
    <n v="1200"/>
    <n v="5682"/>
    <n v="0"/>
    <n v="1959"/>
    <n v="1954"/>
    <n v="6072"/>
    <n v="31011"/>
    <n v="48000"/>
    <n v="16989"/>
    <n v="0.35393750000000002"/>
  </r>
  <r>
    <d v="2022-12-01T00:00:00"/>
    <x v="2"/>
    <x v="11"/>
    <n v="6797"/>
    <n v="10000"/>
    <n v="1729"/>
    <n v="1064"/>
    <n v="2062"/>
    <n v="837"/>
    <n v="6314"/>
    <n v="0"/>
    <n v="3985"/>
    <n v="2799"/>
    <n v="8615"/>
    <n v="35587"/>
    <n v="48000"/>
    <n v="12413"/>
    <n v="0.25860416666666669"/>
  </r>
  <r>
    <d v="2023-01-01T00:00:00"/>
    <x v="3"/>
    <x v="0"/>
    <n v="4797"/>
    <n v="10000"/>
    <n v="2378"/>
    <n v="1147"/>
    <n v="1980"/>
    <n v="1083"/>
    <n v="6533"/>
    <n v="0"/>
    <n v="1952"/>
    <n v="2019"/>
    <n v="6147"/>
    <n v="31889"/>
    <n v="48000"/>
    <n v="16111"/>
    <n v="0.33564583333333331"/>
  </r>
  <r>
    <d v="2023-02-01T00:00:00"/>
    <x v="3"/>
    <x v="1"/>
    <n v="4546"/>
    <n v="10000"/>
    <n v="3035"/>
    <n v="716"/>
    <n v="1671"/>
    <n v="1872"/>
    <n v="7089"/>
    <n v="0"/>
    <n v="2743"/>
    <n v="1157"/>
    <n v="9191"/>
    <n v="32829"/>
    <n v="48000"/>
    <n v="15171"/>
    <n v="0.31606250000000002"/>
  </r>
  <r>
    <d v="2023-03-01T00:00:00"/>
    <x v="3"/>
    <x v="2"/>
    <n v="6146"/>
    <n v="10000"/>
    <n v="1779"/>
    <n v="1048"/>
    <n v="1996"/>
    <n v="1860"/>
    <n v="6173"/>
    <n v="0"/>
    <n v="1801"/>
    <n v="1180"/>
    <n v="9505"/>
    <n v="31983"/>
    <n v="48000"/>
    <n v="16017"/>
    <n v="0.33368750000000003"/>
  </r>
  <r>
    <d v="2023-04-01T00:00:00"/>
    <x v="3"/>
    <x v="3"/>
    <n v="5139"/>
    <n v="10000"/>
    <n v="1752"/>
    <n v="1168"/>
    <n v="2427"/>
    <n v="990"/>
    <n v="6487"/>
    <n v="0"/>
    <n v="3506"/>
    <n v="2184"/>
    <n v="6549"/>
    <n v="33653"/>
    <n v="56000"/>
    <n v="22347"/>
    <n v="0.39905357142857145"/>
  </r>
  <r>
    <d v="2023-05-01T00:00:00"/>
    <x v="3"/>
    <x v="4"/>
    <n v="5816"/>
    <n v="10000"/>
    <n v="2069"/>
    <n v="1022"/>
    <n v="2371"/>
    <n v="1365"/>
    <n v="7479"/>
    <n v="0"/>
    <n v="2125"/>
    <n v="2311"/>
    <n v="7608"/>
    <n v="34558"/>
    <n v="56000"/>
    <n v="21442"/>
    <n v="0.38289285714285715"/>
  </r>
  <r>
    <d v="2023-06-01T00:00:00"/>
    <x v="3"/>
    <x v="5"/>
    <n v="4154"/>
    <n v="10000"/>
    <n v="2909"/>
    <n v="1173"/>
    <n v="2284"/>
    <n v="1289"/>
    <n v="7147"/>
    <n v="0"/>
    <n v="1745"/>
    <n v="2199"/>
    <n v="7260"/>
    <n v="32900"/>
    <n v="56000"/>
    <n v="23100"/>
    <n v="0.41249999999999998"/>
  </r>
  <r>
    <d v="2023-07-01T00:00:00"/>
    <x v="3"/>
    <x v="6"/>
    <n v="4537"/>
    <n v="10000"/>
    <n v="1907"/>
    <n v="712"/>
    <n v="2327"/>
    <n v="1720"/>
    <n v="7004"/>
    <n v="0"/>
    <n v="3029"/>
    <n v="1902"/>
    <n v="10070"/>
    <n v="33138"/>
    <n v="56000"/>
    <n v="22862"/>
    <n v="0.40825"/>
  </r>
  <r>
    <d v="2023-08-01T00:00:00"/>
    <x v="3"/>
    <x v="7"/>
    <n v="6368"/>
    <n v="10000"/>
    <n v="1899"/>
    <n v="841"/>
    <n v="2471"/>
    <n v="1311"/>
    <n v="5677"/>
    <n v="0"/>
    <n v="3406"/>
    <n v="1470"/>
    <n v="8841"/>
    <n v="33443"/>
    <n v="56000"/>
    <n v="22557"/>
    <n v="0.40280357142857143"/>
  </r>
  <r>
    <d v="2023-09-01T00:00:00"/>
    <x v="3"/>
    <x v="8"/>
    <n v="5823"/>
    <n v="10000"/>
    <n v="3482"/>
    <n v="1041"/>
    <n v="1550"/>
    <n v="1526"/>
    <n v="6402"/>
    <n v="0"/>
    <n v="2074"/>
    <n v="2213"/>
    <n v="8908"/>
    <n v="34111"/>
    <n v="56000"/>
    <n v="21889"/>
    <n v="0.39087499999999997"/>
  </r>
  <r>
    <d v="2023-10-01T00:00:00"/>
    <x v="3"/>
    <x v="9"/>
    <n v="6352"/>
    <n v="10000"/>
    <n v="2337"/>
    <n v="970"/>
    <n v="1553"/>
    <n v="1481"/>
    <n v="7062"/>
    <n v="0"/>
    <n v="3991"/>
    <n v="1612"/>
    <n v="9911"/>
    <n v="35358"/>
    <n v="56000"/>
    <n v="20642"/>
    <n v="0.36860714285714286"/>
  </r>
  <r>
    <d v="2023-11-01T00:00:00"/>
    <x v="3"/>
    <x v="10"/>
    <n v="6004"/>
    <n v="13000"/>
    <n v="2719"/>
    <n v="961"/>
    <n v="2376"/>
    <n v="2626"/>
    <n v="6751"/>
    <n v="0"/>
    <n v="2491"/>
    <n v="1883"/>
    <n v="9517"/>
    <n v="38811"/>
    <n v="56000"/>
    <n v="17189"/>
    <n v="0.30694642857142856"/>
  </r>
  <r>
    <d v="2023-12-01T00:00:00"/>
    <x v="3"/>
    <x v="11"/>
    <n v="8983"/>
    <n v="13000"/>
    <n v="1768"/>
    <n v="1069"/>
    <n v="2135"/>
    <n v="2155"/>
    <n v="5714"/>
    <n v="0"/>
    <n v="2629"/>
    <n v="2693"/>
    <n v="7833"/>
    <n v="40146"/>
    <n v="56000"/>
    <n v="15854"/>
    <n v="0.28310714285714284"/>
  </r>
  <r>
    <d v="2024-01-01T00:00:00"/>
    <x v="4"/>
    <x v="0"/>
    <n v="7810"/>
    <n v="13000"/>
    <n v="3474"/>
    <n v="1045"/>
    <n v="2240"/>
    <n v="2581"/>
    <n v="7940"/>
    <n v="6000"/>
    <n v="1616"/>
    <n v="2853"/>
    <n v="9497"/>
    <n v="48559"/>
    <n v="56000"/>
    <n v="7441"/>
    <n v="0.13287499999999999"/>
  </r>
  <r>
    <d v="2024-02-01T00:00:00"/>
    <x v="4"/>
    <x v="1"/>
    <n v="7012"/>
    <n v="13000"/>
    <n v="2133"/>
    <n v="700"/>
    <n v="2250"/>
    <n v="2581"/>
    <n v="5862"/>
    <n v="6000"/>
    <n v="2619"/>
    <n v="2661"/>
    <n v="6624"/>
    <n v="44818"/>
    <n v="56000"/>
    <n v="11182"/>
    <n v="0.19967857142857143"/>
  </r>
  <r>
    <d v="2024-03-01T00:00:00"/>
    <x v="4"/>
    <x v="2"/>
    <n v="6896"/>
    <n v="13000"/>
    <n v="2712"/>
    <n v="1186"/>
    <n v="2203"/>
    <n v="2795"/>
    <n v="7312"/>
    <n v="6000"/>
    <n v="2970"/>
    <n v="1580"/>
    <n v="7949"/>
    <n v="46654"/>
    <n v="56000"/>
    <n v="9346"/>
    <n v="0.16689285714285715"/>
  </r>
  <r>
    <d v="2024-04-01T00:00:00"/>
    <x v="4"/>
    <x v="3"/>
    <n v="6153"/>
    <n v="13000"/>
    <n v="2496"/>
    <n v="785"/>
    <n v="2196"/>
    <n v="2958"/>
    <n v="6701"/>
    <n v="6000"/>
    <n v="2743"/>
    <n v="2092"/>
    <n v="8393"/>
    <n v="45124"/>
    <n v="64000"/>
    <n v="18876"/>
    <n v="0.29493750000000002"/>
  </r>
  <r>
    <d v="2024-05-01T00:00:00"/>
    <x v="4"/>
    <x v="4"/>
    <n v="6957"/>
    <n v="13000"/>
    <n v="1952"/>
    <n v="903"/>
    <n v="2411"/>
    <n v="2511"/>
    <n v="7973"/>
    <n v="6000"/>
    <n v="3765"/>
    <n v="1473"/>
    <n v="9430"/>
    <n v="46945"/>
    <n v="64000"/>
    <n v="17055"/>
    <n v="0.266484375"/>
  </r>
  <r>
    <d v="2024-06-01T00:00:00"/>
    <x v="4"/>
    <x v="5"/>
    <n v="7312"/>
    <n v="13000"/>
    <n v="3257"/>
    <n v="1056"/>
    <n v="1522"/>
    <n v="2777"/>
    <n v="9437"/>
    <n v="6000"/>
    <n v="3285"/>
    <n v="1521"/>
    <n v="12074"/>
    <n v="49167"/>
    <n v="64000"/>
    <n v="14833"/>
    <n v="0.231765625"/>
  </r>
  <r>
    <d v="2024-07-01T00:00:00"/>
    <x v="4"/>
    <x v="6"/>
    <n v="8809"/>
    <n v="13000"/>
    <n v="3131"/>
    <n v="956"/>
    <n v="1824"/>
    <n v="1941"/>
    <n v="6625"/>
    <n v="6000"/>
    <n v="2015"/>
    <n v="2039"/>
    <n v="10511"/>
    <n v="46340"/>
    <n v="64000"/>
    <n v="17660"/>
    <n v="0.2759375"/>
  </r>
  <r>
    <d v="2024-08-01T00:00:00"/>
    <x v="4"/>
    <x v="7"/>
    <n v="6496"/>
    <n v="13000"/>
    <n v="1659"/>
    <n v="1174"/>
    <n v="2351"/>
    <n v="2395"/>
    <n v="7642"/>
    <n v="6000"/>
    <n v="3187"/>
    <n v="2931"/>
    <n v="10517"/>
    <n v="46835"/>
    <n v="64000"/>
    <n v="17165"/>
    <n v="0.26820312499999999"/>
  </r>
  <r>
    <d v="2024-09-01T00:00:00"/>
    <x v="4"/>
    <x v="8"/>
    <n v="6956"/>
    <n v="13000"/>
    <n v="2950"/>
    <n v="800"/>
    <n v="1767"/>
    <n v="2190"/>
    <n v="9297"/>
    <n v="6000"/>
    <n v="2940"/>
    <n v="2191"/>
    <n v="7653"/>
    <n v="48091"/>
    <n v="64000"/>
    <n v="15909"/>
    <n v="0.24857812500000001"/>
  </r>
  <r>
    <d v="2024-10-01T00:00:00"/>
    <x v="4"/>
    <x v="9"/>
    <n v="8444"/>
    <n v="13000"/>
    <n v="3130"/>
    <n v="1001"/>
    <n v="2397"/>
    <n v="1511"/>
    <n v="7476"/>
    <n v="6000"/>
    <n v="2253"/>
    <n v="1034"/>
    <n v="10596"/>
    <n v="46246"/>
    <n v="64000"/>
    <n v="17754"/>
    <n v="0.27740625000000002"/>
  </r>
  <r>
    <d v="2024-11-01T00:00:00"/>
    <x v="4"/>
    <x v="10"/>
    <n v="8652"/>
    <n v="13000"/>
    <n v="3125"/>
    <n v="1117"/>
    <n v="1614"/>
    <n v="2469"/>
    <n v="6778"/>
    <n v="6000"/>
    <n v="2116"/>
    <n v="2926"/>
    <n v="10859"/>
    <n v="47797"/>
    <n v="64000"/>
    <n v="16203"/>
    <n v="0.25317187499999999"/>
  </r>
  <r>
    <d v="2024-12-01T00:00:00"/>
    <x v="4"/>
    <x v="11"/>
    <n v="7516"/>
    <n v="13000"/>
    <n v="1912"/>
    <n v="1075"/>
    <n v="1919"/>
    <n v="2598"/>
    <n v="9496"/>
    <n v="6000"/>
    <n v="2228"/>
    <n v="2300"/>
    <n v="9907"/>
    <n v="48044"/>
    <n v="64000"/>
    <n v="15956"/>
    <n v="0.24931249999999999"/>
  </r>
  <r>
    <d v="2025-01-01T00:00:00"/>
    <x v="5"/>
    <x v="0"/>
    <n v="7892"/>
    <n v="13000"/>
    <n v="2419"/>
    <n v="891"/>
    <n v="2238"/>
    <n v="1956"/>
    <n v="7590"/>
    <n v="6000"/>
    <n v="2622"/>
    <n v="2571"/>
    <n v="11369"/>
    <n v="47179"/>
    <n v="64000"/>
    <n v="16821"/>
    <n v="0.26282812500000002"/>
  </r>
  <r>
    <d v="2025-02-01T00:00:00"/>
    <x v="5"/>
    <x v="1"/>
    <n v="7687"/>
    <n v="13000"/>
    <n v="2713"/>
    <n v="923"/>
    <n v="1536"/>
    <n v="2162"/>
    <n v="8814"/>
    <n v="0"/>
    <n v="3048"/>
    <n v="1278"/>
    <n v="7059"/>
    <n v="41161"/>
    <n v="64000"/>
    <n v="22839"/>
    <n v="0.35685937499999998"/>
  </r>
  <r>
    <d v="2025-03-01T00:00:00"/>
    <x v="5"/>
    <x v="2"/>
    <n v="7296"/>
    <n v="13000"/>
    <n v="2095"/>
    <n v="1067"/>
    <n v="2228"/>
    <n v="1561"/>
    <n v="9265"/>
    <n v="0"/>
    <n v="2865"/>
    <n v="1396"/>
    <n v="8890"/>
    <n v="40773"/>
    <n v="64000"/>
    <n v="23227"/>
    <n v="0.362921875"/>
  </r>
  <r>
    <d v="2025-04-01T00:00:00"/>
    <x v="5"/>
    <x v="3"/>
    <n v="6395"/>
    <n v="13000"/>
    <n v="2756"/>
    <n v="1102"/>
    <n v="1575"/>
    <n v="1944"/>
    <n v="9461"/>
    <n v="0"/>
    <n v="1764"/>
    <n v="1454"/>
    <n v="10731"/>
    <n v="39451"/>
    <n v="64000"/>
    <n v="24549"/>
    <n v="0.38357812499999999"/>
  </r>
  <r>
    <d v="2025-05-01T00:00:00"/>
    <x v="5"/>
    <x v="4"/>
    <n v="6850"/>
    <n v="13000"/>
    <n v="1643"/>
    <n v="1072"/>
    <n v="1568"/>
    <n v="2890"/>
    <n v="8171"/>
    <n v="0"/>
    <n v="1895"/>
    <n v="2048"/>
    <n v="7761"/>
    <n v="39137"/>
    <n v="64000"/>
    <n v="24863"/>
    <n v="0.38848437499999999"/>
  </r>
  <r>
    <d v="2025-06-01T00:00:00"/>
    <x v="5"/>
    <x v="5"/>
    <n v="7167"/>
    <n v="13000"/>
    <n v="2562"/>
    <n v="808"/>
    <n v="2192"/>
    <n v="2068"/>
    <n v="6584"/>
    <n v="0"/>
    <n v="2565"/>
    <n v="2209"/>
    <n v="9916"/>
    <n v="39155"/>
    <n v="64000"/>
    <n v="24845"/>
    <n v="0.38820312499999998"/>
  </r>
  <r>
    <d v="2025-07-01T00:00:00"/>
    <x v="5"/>
    <x v="6"/>
    <n v="7156"/>
    <n v="13000"/>
    <n v="2738"/>
    <n v="920"/>
    <n v="1734"/>
    <n v="2686"/>
    <n v="8601"/>
    <n v="0"/>
    <n v="2250"/>
    <n v="1587"/>
    <n v="11756"/>
    <n v="40672"/>
    <n v="64000"/>
    <n v="23328"/>
    <n v="0.36449999999999999"/>
  </r>
  <r>
    <d v="2025-08-01T00:00:00"/>
    <x v="5"/>
    <x v="7"/>
    <n v="8960"/>
    <n v="13000"/>
    <n v="2753"/>
    <n v="706"/>
    <n v="1673"/>
    <n v="2776"/>
    <n v="6632"/>
    <n v="0"/>
    <n v="3176"/>
    <n v="2191"/>
    <n v="11659"/>
    <n v="41867"/>
    <n v="64000"/>
    <n v="22133"/>
    <n v="0.34582812499999999"/>
  </r>
  <r>
    <d v="2025-09-01T00:00:00"/>
    <x v="5"/>
    <x v="8"/>
    <n v="8681"/>
    <n v="13000"/>
    <n v="3040"/>
    <n v="728"/>
    <n v="1664"/>
    <n v="2717"/>
    <n v="8260"/>
    <n v="0"/>
    <n v="2945"/>
    <n v="1338"/>
    <n v="11924"/>
    <n v="42373"/>
    <n v="64000"/>
    <n v="21627"/>
    <n v="0.337921874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AB2AAB-5769-4333-BA80-865D96A66DEF}" name="inc_vs_expe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D19" firstHeaderRow="0" firstDataRow="1" firstDataCol="1"/>
  <pivotFields count="18">
    <pivotField numFmtId="14" showAll="0"/>
    <pivotField showAll="0">
      <items count="7">
        <item x="0"/>
        <item x="1"/>
        <item x="2"/>
        <item x="3"/>
        <item x="4"/>
        <item x="5"/>
        <item t="default"/>
      </items>
    </pivotField>
    <pivotField axis="axisRow" numFmtId="1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numFmtId="9"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Income " fld="15" baseField="0" baseItem="0"/>
    <dataField name="Sum of Total Expenditure " fld="14" baseField="0" baseItem="0"/>
    <dataField name="Sum of Surplus" fld="16" baseField="0" baseItem="0"/>
  </dataFields>
  <formats count="2">
    <format dxfId="1">
      <pivotArea outline="0" collapsedLevelsAreSubtotals="1" fieldPosition="0"/>
    </format>
    <format dxfId="0">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DC0776-1E2E-4225-A9AE-D9DA367721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N34" firstHeaderRow="1" firstDataRow="2" firstDataCol="1"/>
  <pivotFields count="10">
    <pivotField numFmtId="14" showAll="0"/>
    <pivotField showAll="0">
      <items count="7">
        <item x="0"/>
        <item x="1"/>
        <item x="2"/>
        <item x="3"/>
        <item x="4"/>
        <item x="5"/>
        <item t="default"/>
      </items>
    </pivotField>
    <pivotField axis="axisCol"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items count="11">
        <item x="8"/>
        <item x="7"/>
        <item x="0"/>
        <item x="3"/>
        <item x="5"/>
        <item x="6"/>
        <item x="1"/>
        <item x="9"/>
        <item x="2"/>
        <item x="4"/>
        <item t="default"/>
      </items>
    </pivotField>
    <pivotField dataField="1" showAll="0"/>
  </pivotFields>
  <rowFields count="1">
    <field x="8"/>
  </rowFields>
  <rowItems count="11">
    <i>
      <x/>
    </i>
    <i>
      <x v="1"/>
    </i>
    <i>
      <x v="2"/>
    </i>
    <i>
      <x v="3"/>
    </i>
    <i>
      <x v="4"/>
    </i>
    <i>
      <x v="5"/>
    </i>
    <i>
      <x v="6"/>
    </i>
    <i>
      <x v="7"/>
    </i>
    <i>
      <x v="8"/>
    </i>
    <i>
      <x v="9"/>
    </i>
    <i t="grand">
      <x/>
    </i>
  </rowItems>
  <colFields count="1">
    <field x="2"/>
  </colFields>
  <colItems count="13">
    <i>
      <x/>
    </i>
    <i>
      <x v="1"/>
    </i>
    <i>
      <x v="2"/>
    </i>
    <i>
      <x v="3"/>
    </i>
    <i>
      <x v="4"/>
    </i>
    <i>
      <x v="5"/>
    </i>
    <i>
      <x v="6"/>
    </i>
    <i>
      <x v="7"/>
    </i>
    <i>
      <x v="8"/>
    </i>
    <i>
      <x v="9"/>
    </i>
    <i>
      <x v="10"/>
    </i>
    <i>
      <x v="11"/>
    </i>
    <i t="grand">
      <x/>
    </i>
  </colItems>
  <dataFields count="1">
    <dataField name="Sum of Amount" fld="9" baseField="0" baseItem="0" numFmtId="3"/>
  </dataFields>
  <formats count="1">
    <format dxfId="2">
      <pivotArea outline="0" collapsedLevelsAreSubtotals="1" fieldPosition="0"/>
    </format>
  </formats>
  <chartFormats count="40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1" format="7"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8"/>
          </reference>
        </references>
      </pivotArea>
    </chartFormat>
    <chartFormat chart="1" format="9" series="1">
      <pivotArea type="data" outline="0" fieldPosition="0">
        <references count="2">
          <reference field="4294967294" count="1" selected="0">
            <x v="0"/>
          </reference>
          <reference field="2" count="1" selected="0">
            <x v="9"/>
          </reference>
        </references>
      </pivotArea>
    </chartFormat>
    <chartFormat chart="1" format="10" series="1">
      <pivotArea type="data" outline="0" fieldPosition="0">
        <references count="2">
          <reference field="4294967294" count="1" selected="0">
            <x v="0"/>
          </reference>
          <reference field="2" count="1" selected="0">
            <x v="10"/>
          </reference>
        </references>
      </pivotArea>
    </chartFormat>
    <chartFormat chart="1" format="11" series="1">
      <pivotArea type="data" outline="0" fieldPosition="0">
        <references count="2">
          <reference field="4294967294" count="1" selected="0">
            <x v="0"/>
          </reference>
          <reference field="2" count="1" selected="0">
            <x v="11"/>
          </reference>
        </references>
      </pivotArea>
    </chartFormat>
    <chartFormat chart="2" format="12" series="1">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3">
          <reference field="4294967294" count="1" selected="0">
            <x v="0"/>
          </reference>
          <reference field="2" count="1" selected="0">
            <x v="0"/>
          </reference>
          <reference field="8" count="1" selected="0">
            <x v="0"/>
          </reference>
        </references>
      </pivotArea>
    </chartFormat>
    <chartFormat chart="2" format="14">
      <pivotArea type="data" outline="0" fieldPosition="0">
        <references count="3">
          <reference field="4294967294" count="1" selected="0">
            <x v="0"/>
          </reference>
          <reference field="2" count="1" selected="0">
            <x v="0"/>
          </reference>
          <reference field="8" count="1" selected="0">
            <x v="1"/>
          </reference>
        </references>
      </pivotArea>
    </chartFormat>
    <chartFormat chart="2" format="15">
      <pivotArea type="data" outline="0" fieldPosition="0">
        <references count="3">
          <reference field="4294967294" count="1" selected="0">
            <x v="0"/>
          </reference>
          <reference field="2" count="1" selected="0">
            <x v="0"/>
          </reference>
          <reference field="8" count="1" selected="0">
            <x v="2"/>
          </reference>
        </references>
      </pivotArea>
    </chartFormat>
    <chartFormat chart="2" format="16">
      <pivotArea type="data" outline="0" fieldPosition="0">
        <references count="3">
          <reference field="4294967294" count="1" selected="0">
            <x v="0"/>
          </reference>
          <reference field="2" count="1" selected="0">
            <x v="0"/>
          </reference>
          <reference field="8" count="1" selected="0">
            <x v="3"/>
          </reference>
        </references>
      </pivotArea>
    </chartFormat>
    <chartFormat chart="2" format="17">
      <pivotArea type="data" outline="0" fieldPosition="0">
        <references count="3">
          <reference field="4294967294" count="1" selected="0">
            <x v="0"/>
          </reference>
          <reference field="2" count="1" selected="0">
            <x v="0"/>
          </reference>
          <reference field="8" count="1" selected="0">
            <x v="4"/>
          </reference>
        </references>
      </pivotArea>
    </chartFormat>
    <chartFormat chart="2" format="18">
      <pivotArea type="data" outline="0" fieldPosition="0">
        <references count="3">
          <reference field="4294967294" count="1" selected="0">
            <x v="0"/>
          </reference>
          <reference field="2" count="1" selected="0">
            <x v="0"/>
          </reference>
          <reference field="8" count="1" selected="0">
            <x v="5"/>
          </reference>
        </references>
      </pivotArea>
    </chartFormat>
    <chartFormat chart="2" format="19">
      <pivotArea type="data" outline="0" fieldPosition="0">
        <references count="3">
          <reference field="4294967294" count="1" selected="0">
            <x v="0"/>
          </reference>
          <reference field="2" count="1" selected="0">
            <x v="0"/>
          </reference>
          <reference field="8" count="1" selected="0">
            <x v="6"/>
          </reference>
        </references>
      </pivotArea>
    </chartFormat>
    <chartFormat chart="2" format="20">
      <pivotArea type="data" outline="0" fieldPosition="0">
        <references count="3">
          <reference field="4294967294" count="1" selected="0">
            <x v="0"/>
          </reference>
          <reference field="2" count="1" selected="0">
            <x v="0"/>
          </reference>
          <reference field="8" count="1" selected="0">
            <x v="7"/>
          </reference>
        </references>
      </pivotArea>
    </chartFormat>
    <chartFormat chart="2" format="21">
      <pivotArea type="data" outline="0" fieldPosition="0">
        <references count="3">
          <reference field="4294967294" count="1" selected="0">
            <x v="0"/>
          </reference>
          <reference field="2" count="1" selected="0">
            <x v="0"/>
          </reference>
          <reference field="8" count="1" selected="0">
            <x v="8"/>
          </reference>
        </references>
      </pivotArea>
    </chartFormat>
    <chartFormat chart="2" format="22">
      <pivotArea type="data" outline="0" fieldPosition="0">
        <references count="3">
          <reference field="4294967294" count="1" selected="0">
            <x v="0"/>
          </reference>
          <reference field="2" count="1" selected="0">
            <x v="0"/>
          </reference>
          <reference field="8" count="1" selected="0">
            <x v="9"/>
          </reference>
        </references>
      </pivotArea>
    </chartFormat>
    <chartFormat chart="2" format="23" series="1">
      <pivotArea type="data" outline="0" fieldPosition="0">
        <references count="2">
          <reference field="4294967294" count="1" selected="0">
            <x v="0"/>
          </reference>
          <reference field="2" count="1" selected="0">
            <x v="1"/>
          </reference>
        </references>
      </pivotArea>
    </chartFormat>
    <chartFormat chart="2" format="24">
      <pivotArea type="data" outline="0" fieldPosition="0">
        <references count="3">
          <reference field="4294967294" count="1" selected="0">
            <x v="0"/>
          </reference>
          <reference field="2" count="1" selected="0">
            <x v="1"/>
          </reference>
          <reference field="8" count="1" selected="0">
            <x v="0"/>
          </reference>
        </references>
      </pivotArea>
    </chartFormat>
    <chartFormat chart="2" format="25">
      <pivotArea type="data" outline="0" fieldPosition="0">
        <references count="3">
          <reference field="4294967294" count="1" selected="0">
            <x v="0"/>
          </reference>
          <reference field="2" count="1" selected="0">
            <x v="1"/>
          </reference>
          <reference field="8" count="1" selected="0">
            <x v="1"/>
          </reference>
        </references>
      </pivotArea>
    </chartFormat>
    <chartFormat chart="2" format="26">
      <pivotArea type="data" outline="0" fieldPosition="0">
        <references count="3">
          <reference field="4294967294" count="1" selected="0">
            <x v="0"/>
          </reference>
          <reference field="2" count="1" selected="0">
            <x v="1"/>
          </reference>
          <reference field="8" count="1" selected="0">
            <x v="2"/>
          </reference>
        </references>
      </pivotArea>
    </chartFormat>
    <chartFormat chart="2" format="27">
      <pivotArea type="data" outline="0" fieldPosition="0">
        <references count="3">
          <reference field="4294967294" count="1" selected="0">
            <x v="0"/>
          </reference>
          <reference field="2" count="1" selected="0">
            <x v="1"/>
          </reference>
          <reference field="8" count="1" selected="0">
            <x v="3"/>
          </reference>
        </references>
      </pivotArea>
    </chartFormat>
    <chartFormat chart="2" format="28">
      <pivotArea type="data" outline="0" fieldPosition="0">
        <references count="3">
          <reference field="4294967294" count="1" selected="0">
            <x v="0"/>
          </reference>
          <reference field="2" count="1" selected="0">
            <x v="1"/>
          </reference>
          <reference field="8" count="1" selected="0">
            <x v="4"/>
          </reference>
        </references>
      </pivotArea>
    </chartFormat>
    <chartFormat chart="2" format="29">
      <pivotArea type="data" outline="0" fieldPosition="0">
        <references count="3">
          <reference field="4294967294" count="1" selected="0">
            <x v="0"/>
          </reference>
          <reference field="2" count="1" selected="0">
            <x v="1"/>
          </reference>
          <reference field="8" count="1" selected="0">
            <x v="5"/>
          </reference>
        </references>
      </pivotArea>
    </chartFormat>
    <chartFormat chart="2" format="30">
      <pivotArea type="data" outline="0" fieldPosition="0">
        <references count="3">
          <reference field="4294967294" count="1" selected="0">
            <x v="0"/>
          </reference>
          <reference field="2" count="1" selected="0">
            <x v="1"/>
          </reference>
          <reference field="8" count="1" selected="0">
            <x v="6"/>
          </reference>
        </references>
      </pivotArea>
    </chartFormat>
    <chartFormat chart="2" format="31">
      <pivotArea type="data" outline="0" fieldPosition="0">
        <references count="3">
          <reference field="4294967294" count="1" selected="0">
            <x v="0"/>
          </reference>
          <reference field="2" count="1" selected="0">
            <x v="1"/>
          </reference>
          <reference field="8" count="1" selected="0">
            <x v="7"/>
          </reference>
        </references>
      </pivotArea>
    </chartFormat>
    <chartFormat chart="2" format="32">
      <pivotArea type="data" outline="0" fieldPosition="0">
        <references count="3">
          <reference field="4294967294" count="1" selected="0">
            <x v="0"/>
          </reference>
          <reference field="2" count="1" selected="0">
            <x v="1"/>
          </reference>
          <reference field="8" count="1" selected="0">
            <x v="8"/>
          </reference>
        </references>
      </pivotArea>
    </chartFormat>
    <chartFormat chart="2" format="33">
      <pivotArea type="data" outline="0" fieldPosition="0">
        <references count="3">
          <reference field="4294967294" count="1" selected="0">
            <x v="0"/>
          </reference>
          <reference field="2" count="1" selected="0">
            <x v="1"/>
          </reference>
          <reference field="8" count="1" selected="0">
            <x v="9"/>
          </reference>
        </references>
      </pivotArea>
    </chartFormat>
    <chartFormat chart="2" format="34" series="1">
      <pivotArea type="data" outline="0" fieldPosition="0">
        <references count="2">
          <reference field="4294967294" count="1" selected="0">
            <x v="0"/>
          </reference>
          <reference field="2" count="1" selected="0">
            <x v="2"/>
          </reference>
        </references>
      </pivotArea>
    </chartFormat>
    <chartFormat chart="2" format="35">
      <pivotArea type="data" outline="0" fieldPosition="0">
        <references count="3">
          <reference field="4294967294" count="1" selected="0">
            <x v="0"/>
          </reference>
          <reference field="2" count="1" selected="0">
            <x v="2"/>
          </reference>
          <reference field="8" count="1" selected="0">
            <x v="0"/>
          </reference>
        </references>
      </pivotArea>
    </chartFormat>
    <chartFormat chart="2" format="36">
      <pivotArea type="data" outline="0" fieldPosition="0">
        <references count="3">
          <reference field="4294967294" count="1" selected="0">
            <x v="0"/>
          </reference>
          <reference field="2" count="1" selected="0">
            <x v="2"/>
          </reference>
          <reference field="8" count="1" selected="0">
            <x v="1"/>
          </reference>
        </references>
      </pivotArea>
    </chartFormat>
    <chartFormat chart="2" format="37">
      <pivotArea type="data" outline="0" fieldPosition="0">
        <references count="3">
          <reference field="4294967294" count="1" selected="0">
            <x v="0"/>
          </reference>
          <reference field="2" count="1" selected="0">
            <x v="2"/>
          </reference>
          <reference field="8" count="1" selected="0">
            <x v="2"/>
          </reference>
        </references>
      </pivotArea>
    </chartFormat>
    <chartFormat chart="2" format="38">
      <pivotArea type="data" outline="0" fieldPosition="0">
        <references count="3">
          <reference field="4294967294" count="1" selected="0">
            <x v="0"/>
          </reference>
          <reference field="2" count="1" selected="0">
            <x v="2"/>
          </reference>
          <reference field="8" count="1" selected="0">
            <x v="3"/>
          </reference>
        </references>
      </pivotArea>
    </chartFormat>
    <chartFormat chart="2" format="39">
      <pivotArea type="data" outline="0" fieldPosition="0">
        <references count="3">
          <reference field="4294967294" count="1" selected="0">
            <x v="0"/>
          </reference>
          <reference field="2" count="1" selected="0">
            <x v="2"/>
          </reference>
          <reference field="8" count="1" selected="0">
            <x v="4"/>
          </reference>
        </references>
      </pivotArea>
    </chartFormat>
    <chartFormat chart="2" format="40">
      <pivotArea type="data" outline="0" fieldPosition="0">
        <references count="3">
          <reference field="4294967294" count="1" selected="0">
            <x v="0"/>
          </reference>
          <reference field="2" count="1" selected="0">
            <x v="2"/>
          </reference>
          <reference field="8" count="1" selected="0">
            <x v="5"/>
          </reference>
        </references>
      </pivotArea>
    </chartFormat>
    <chartFormat chart="2" format="41">
      <pivotArea type="data" outline="0" fieldPosition="0">
        <references count="3">
          <reference field="4294967294" count="1" selected="0">
            <x v="0"/>
          </reference>
          <reference field="2" count="1" selected="0">
            <x v="2"/>
          </reference>
          <reference field="8" count="1" selected="0">
            <x v="6"/>
          </reference>
        </references>
      </pivotArea>
    </chartFormat>
    <chartFormat chart="2" format="42">
      <pivotArea type="data" outline="0" fieldPosition="0">
        <references count="3">
          <reference field="4294967294" count="1" selected="0">
            <x v="0"/>
          </reference>
          <reference field="2" count="1" selected="0">
            <x v="2"/>
          </reference>
          <reference field="8" count="1" selected="0">
            <x v="7"/>
          </reference>
        </references>
      </pivotArea>
    </chartFormat>
    <chartFormat chart="2" format="43">
      <pivotArea type="data" outline="0" fieldPosition="0">
        <references count="3">
          <reference field="4294967294" count="1" selected="0">
            <x v="0"/>
          </reference>
          <reference field="2" count="1" selected="0">
            <x v="2"/>
          </reference>
          <reference field="8" count="1" selected="0">
            <x v="8"/>
          </reference>
        </references>
      </pivotArea>
    </chartFormat>
    <chartFormat chart="2" format="44">
      <pivotArea type="data" outline="0" fieldPosition="0">
        <references count="3">
          <reference field="4294967294" count="1" selected="0">
            <x v="0"/>
          </reference>
          <reference field="2" count="1" selected="0">
            <x v="2"/>
          </reference>
          <reference field="8" count="1" selected="0">
            <x v="9"/>
          </reference>
        </references>
      </pivotArea>
    </chartFormat>
    <chartFormat chart="2" format="45" series="1">
      <pivotArea type="data" outline="0" fieldPosition="0">
        <references count="2">
          <reference field="4294967294" count="1" selected="0">
            <x v="0"/>
          </reference>
          <reference field="2" count="1" selected="0">
            <x v="3"/>
          </reference>
        </references>
      </pivotArea>
    </chartFormat>
    <chartFormat chart="2" format="46">
      <pivotArea type="data" outline="0" fieldPosition="0">
        <references count="3">
          <reference field="4294967294" count="1" selected="0">
            <x v="0"/>
          </reference>
          <reference field="2" count="1" selected="0">
            <x v="3"/>
          </reference>
          <reference field="8" count="1" selected="0">
            <x v="0"/>
          </reference>
        </references>
      </pivotArea>
    </chartFormat>
    <chartFormat chart="2" format="47">
      <pivotArea type="data" outline="0" fieldPosition="0">
        <references count="3">
          <reference field="4294967294" count="1" selected="0">
            <x v="0"/>
          </reference>
          <reference field="2" count="1" selected="0">
            <x v="3"/>
          </reference>
          <reference field="8" count="1" selected="0">
            <x v="1"/>
          </reference>
        </references>
      </pivotArea>
    </chartFormat>
    <chartFormat chart="2" format="48">
      <pivotArea type="data" outline="0" fieldPosition="0">
        <references count="3">
          <reference field="4294967294" count="1" selected="0">
            <x v="0"/>
          </reference>
          <reference field="2" count="1" selected="0">
            <x v="3"/>
          </reference>
          <reference field="8" count="1" selected="0">
            <x v="2"/>
          </reference>
        </references>
      </pivotArea>
    </chartFormat>
    <chartFormat chart="2" format="49">
      <pivotArea type="data" outline="0" fieldPosition="0">
        <references count="3">
          <reference field="4294967294" count="1" selected="0">
            <x v="0"/>
          </reference>
          <reference field="2" count="1" selected="0">
            <x v="3"/>
          </reference>
          <reference field="8" count="1" selected="0">
            <x v="3"/>
          </reference>
        </references>
      </pivotArea>
    </chartFormat>
    <chartFormat chart="2" format="50">
      <pivotArea type="data" outline="0" fieldPosition="0">
        <references count="3">
          <reference field="4294967294" count="1" selected="0">
            <x v="0"/>
          </reference>
          <reference field="2" count="1" selected="0">
            <x v="3"/>
          </reference>
          <reference field="8" count="1" selected="0">
            <x v="4"/>
          </reference>
        </references>
      </pivotArea>
    </chartFormat>
    <chartFormat chart="2" format="51">
      <pivotArea type="data" outline="0" fieldPosition="0">
        <references count="3">
          <reference field="4294967294" count="1" selected="0">
            <x v="0"/>
          </reference>
          <reference field="2" count="1" selected="0">
            <x v="3"/>
          </reference>
          <reference field="8" count="1" selected="0">
            <x v="5"/>
          </reference>
        </references>
      </pivotArea>
    </chartFormat>
    <chartFormat chart="2" format="52">
      <pivotArea type="data" outline="0" fieldPosition="0">
        <references count="3">
          <reference field="4294967294" count="1" selected="0">
            <x v="0"/>
          </reference>
          <reference field="2" count="1" selected="0">
            <x v="3"/>
          </reference>
          <reference field="8" count="1" selected="0">
            <x v="6"/>
          </reference>
        </references>
      </pivotArea>
    </chartFormat>
    <chartFormat chart="2" format="53">
      <pivotArea type="data" outline="0" fieldPosition="0">
        <references count="3">
          <reference field="4294967294" count="1" selected="0">
            <x v="0"/>
          </reference>
          <reference field="2" count="1" selected="0">
            <x v="3"/>
          </reference>
          <reference field="8" count="1" selected="0">
            <x v="7"/>
          </reference>
        </references>
      </pivotArea>
    </chartFormat>
    <chartFormat chart="2" format="54">
      <pivotArea type="data" outline="0" fieldPosition="0">
        <references count="3">
          <reference field="4294967294" count="1" selected="0">
            <x v="0"/>
          </reference>
          <reference field="2" count="1" selected="0">
            <x v="3"/>
          </reference>
          <reference field="8" count="1" selected="0">
            <x v="8"/>
          </reference>
        </references>
      </pivotArea>
    </chartFormat>
    <chartFormat chart="2" format="55">
      <pivotArea type="data" outline="0" fieldPosition="0">
        <references count="3">
          <reference field="4294967294" count="1" selected="0">
            <x v="0"/>
          </reference>
          <reference field="2" count="1" selected="0">
            <x v="3"/>
          </reference>
          <reference field="8" count="1" selected="0">
            <x v="9"/>
          </reference>
        </references>
      </pivotArea>
    </chartFormat>
    <chartFormat chart="2" format="56" series="1">
      <pivotArea type="data" outline="0" fieldPosition="0">
        <references count="2">
          <reference field="4294967294" count="1" selected="0">
            <x v="0"/>
          </reference>
          <reference field="2" count="1" selected="0">
            <x v="4"/>
          </reference>
        </references>
      </pivotArea>
    </chartFormat>
    <chartFormat chart="2" format="57">
      <pivotArea type="data" outline="0" fieldPosition="0">
        <references count="3">
          <reference field="4294967294" count="1" selected="0">
            <x v="0"/>
          </reference>
          <reference field="2" count="1" selected="0">
            <x v="4"/>
          </reference>
          <reference field="8" count="1" selected="0">
            <x v="0"/>
          </reference>
        </references>
      </pivotArea>
    </chartFormat>
    <chartFormat chart="2" format="58">
      <pivotArea type="data" outline="0" fieldPosition="0">
        <references count="3">
          <reference field="4294967294" count="1" selected="0">
            <x v="0"/>
          </reference>
          <reference field="2" count="1" selected="0">
            <x v="4"/>
          </reference>
          <reference field="8" count="1" selected="0">
            <x v="1"/>
          </reference>
        </references>
      </pivotArea>
    </chartFormat>
    <chartFormat chart="2" format="59">
      <pivotArea type="data" outline="0" fieldPosition="0">
        <references count="3">
          <reference field="4294967294" count="1" selected="0">
            <x v="0"/>
          </reference>
          <reference field="2" count="1" selected="0">
            <x v="4"/>
          </reference>
          <reference field="8" count="1" selected="0">
            <x v="2"/>
          </reference>
        </references>
      </pivotArea>
    </chartFormat>
    <chartFormat chart="2" format="60">
      <pivotArea type="data" outline="0" fieldPosition="0">
        <references count="3">
          <reference field="4294967294" count="1" selected="0">
            <x v="0"/>
          </reference>
          <reference field="2" count="1" selected="0">
            <x v="4"/>
          </reference>
          <reference field="8" count="1" selected="0">
            <x v="3"/>
          </reference>
        </references>
      </pivotArea>
    </chartFormat>
    <chartFormat chart="2" format="61">
      <pivotArea type="data" outline="0" fieldPosition="0">
        <references count="3">
          <reference field="4294967294" count="1" selected="0">
            <x v="0"/>
          </reference>
          <reference field="2" count="1" selected="0">
            <x v="4"/>
          </reference>
          <reference field="8" count="1" selected="0">
            <x v="4"/>
          </reference>
        </references>
      </pivotArea>
    </chartFormat>
    <chartFormat chart="2" format="62">
      <pivotArea type="data" outline="0" fieldPosition="0">
        <references count="3">
          <reference field="4294967294" count="1" selected="0">
            <x v="0"/>
          </reference>
          <reference field="2" count="1" selected="0">
            <x v="4"/>
          </reference>
          <reference field="8" count="1" selected="0">
            <x v="5"/>
          </reference>
        </references>
      </pivotArea>
    </chartFormat>
    <chartFormat chart="2" format="63">
      <pivotArea type="data" outline="0" fieldPosition="0">
        <references count="3">
          <reference field="4294967294" count="1" selected="0">
            <x v="0"/>
          </reference>
          <reference field="2" count="1" selected="0">
            <x v="4"/>
          </reference>
          <reference field="8" count="1" selected="0">
            <x v="6"/>
          </reference>
        </references>
      </pivotArea>
    </chartFormat>
    <chartFormat chart="2" format="64">
      <pivotArea type="data" outline="0" fieldPosition="0">
        <references count="3">
          <reference field="4294967294" count="1" selected="0">
            <x v="0"/>
          </reference>
          <reference field="2" count="1" selected="0">
            <x v="4"/>
          </reference>
          <reference field="8" count="1" selected="0">
            <x v="7"/>
          </reference>
        </references>
      </pivotArea>
    </chartFormat>
    <chartFormat chart="2" format="65">
      <pivotArea type="data" outline="0" fieldPosition="0">
        <references count="3">
          <reference field="4294967294" count="1" selected="0">
            <x v="0"/>
          </reference>
          <reference field="2" count="1" selected="0">
            <x v="4"/>
          </reference>
          <reference field="8" count="1" selected="0">
            <x v="8"/>
          </reference>
        </references>
      </pivotArea>
    </chartFormat>
    <chartFormat chart="2" format="66">
      <pivotArea type="data" outline="0" fieldPosition="0">
        <references count="3">
          <reference field="4294967294" count="1" selected="0">
            <x v="0"/>
          </reference>
          <reference field="2" count="1" selected="0">
            <x v="4"/>
          </reference>
          <reference field="8" count="1" selected="0">
            <x v="9"/>
          </reference>
        </references>
      </pivotArea>
    </chartFormat>
    <chartFormat chart="2" format="67" series="1">
      <pivotArea type="data" outline="0" fieldPosition="0">
        <references count="2">
          <reference field="4294967294" count="1" selected="0">
            <x v="0"/>
          </reference>
          <reference field="2" count="1" selected="0">
            <x v="5"/>
          </reference>
        </references>
      </pivotArea>
    </chartFormat>
    <chartFormat chart="2" format="68">
      <pivotArea type="data" outline="0" fieldPosition="0">
        <references count="3">
          <reference field="4294967294" count="1" selected="0">
            <x v="0"/>
          </reference>
          <reference field="2" count="1" selected="0">
            <x v="5"/>
          </reference>
          <reference field="8" count="1" selected="0">
            <x v="0"/>
          </reference>
        </references>
      </pivotArea>
    </chartFormat>
    <chartFormat chart="2" format="69">
      <pivotArea type="data" outline="0" fieldPosition="0">
        <references count="3">
          <reference field="4294967294" count="1" selected="0">
            <x v="0"/>
          </reference>
          <reference field="2" count="1" selected="0">
            <x v="5"/>
          </reference>
          <reference field="8" count="1" selected="0">
            <x v="1"/>
          </reference>
        </references>
      </pivotArea>
    </chartFormat>
    <chartFormat chart="2" format="70">
      <pivotArea type="data" outline="0" fieldPosition="0">
        <references count="3">
          <reference field="4294967294" count="1" selected="0">
            <x v="0"/>
          </reference>
          <reference field="2" count="1" selected="0">
            <x v="5"/>
          </reference>
          <reference field="8" count="1" selected="0">
            <x v="2"/>
          </reference>
        </references>
      </pivotArea>
    </chartFormat>
    <chartFormat chart="2" format="71">
      <pivotArea type="data" outline="0" fieldPosition="0">
        <references count="3">
          <reference field="4294967294" count="1" selected="0">
            <x v="0"/>
          </reference>
          <reference field="2" count="1" selected="0">
            <x v="5"/>
          </reference>
          <reference field="8" count="1" selected="0">
            <x v="3"/>
          </reference>
        </references>
      </pivotArea>
    </chartFormat>
    <chartFormat chart="2" format="72">
      <pivotArea type="data" outline="0" fieldPosition="0">
        <references count="3">
          <reference field="4294967294" count="1" selected="0">
            <x v="0"/>
          </reference>
          <reference field="2" count="1" selected="0">
            <x v="5"/>
          </reference>
          <reference field="8" count="1" selected="0">
            <x v="4"/>
          </reference>
        </references>
      </pivotArea>
    </chartFormat>
    <chartFormat chart="2" format="73">
      <pivotArea type="data" outline="0" fieldPosition="0">
        <references count="3">
          <reference field="4294967294" count="1" selected="0">
            <x v="0"/>
          </reference>
          <reference field="2" count="1" selected="0">
            <x v="5"/>
          </reference>
          <reference field="8" count="1" selected="0">
            <x v="5"/>
          </reference>
        </references>
      </pivotArea>
    </chartFormat>
    <chartFormat chart="2" format="74">
      <pivotArea type="data" outline="0" fieldPosition="0">
        <references count="3">
          <reference field="4294967294" count="1" selected="0">
            <x v="0"/>
          </reference>
          <reference field="2" count="1" selected="0">
            <x v="5"/>
          </reference>
          <reference field="8" count="1" selected="0">
            <x v="6"/>
          </reference>
        </references>
      </pivotArea>
    </chartFormat>
    <chartFormat chart="2" format="75">
      <pivotArea type="data" outline="0" fieldPosition="0">
        <references count="3">
          <reference field="4294967294" count="1" selected="0">
            <x v="0"/>
          </reference>
          <reference field="2" count="1" selected="0">
            <x v="5"/>
          </reference>
          <reference field="8" count="1" selected="0">
            <x v="7"/>
          </reference>
        </references>
      </pivotArea>
    </chartFormat>
    <chartFormat chart="2" format="76">
      <pivotArea type="data" outline="0" fieldPosition="0">
        <references count="3">
          <reference field="4294967294" count="1" selected="0">
            <x v="0"/>
          </reference>
          <reference field="2" count="1" selected="0">
            <x v="5"/>
          </reference>
          <reference field="8" count="1" selected="0">
            <x v="8"/>
          </reference>
        </references>
      </pivotArea>
    </chartFormat>
    <chartFormat chart="2" format="77">
      <pivotArea type="data" outline="0" fieldPosition="0">
        <references count="3">
          <reference field="4294967294" count="1" selected="0">
            <x v="0"/>
          </reference>
          <reference field="2" count="1" selected="0">
            <x v="5"/>
          </reference>
          <reference field="8" count="1" selected="0">
            <x v="9"/>
          </reference>
        </references>
      </pivotArea>
    </chartFormat>
    <chartFormat chart="2" format="78" series="1">
      <pivotArea type="data" outline="0" fieldPosition="0">
        <references count="2">
          <reference field="4294967294" count="1" selected="0">
            <x v="0"/>
          </reference>
          <reference field="2" count="1" selected="0">
            <x v="6"/>
          </reference>
        </references>
      </pivotArea>
    </chartFormat>
    <chartFormat chart="2" format="79">
      <pivotArea type="data" outline="0" fieldPosition="0">
        <references count="3">
          <reference field="4294967294" count="1" selected="0">
            <x v="0"/>
          </reference>
          <reference field="2" count="1" selected="0">
            <x v="6"/>
          </reference>
          <reference field="8" count="1" selected="0">
            <x v="0"/>
          </reference>
        </references>
      </pivotArea>
    </chartFormat>
    <chartFormat chart="2" format="80">
      <pivotArea type="data" outline="0" fieldPosition="0">
        <references count="3">
          <reference field="4294967294" count="1" selected="0">
            <x v="0"/>
          </reference>
          <reference field="2" count="1" selected="0">
            <x v="6"/>
          </reference>
          <reference field="8" count="1" selected="0">
            <x v="1"/>
          </reference>
        </references>
      </pivotArea>
    </chartFormat>
    <chartFormat chart="2" format="81">
      <pivotArea type="data" outline="0" fieldPosition="0">
        <references count="3">
          <reference field="4294967294" count="1" selected="0">
            <x v="0"/>
          </reference>
          <reference field="2" count="1" selected="0">
            <x v="6"/>
          </reference>
          <reference field="8" count="1" selected="0">
            <x v="2"/>
          </reference>
        </references>
      </pivotArea>
    </chartFormat>
    <chartFormat chart="2" format="82">
      <pivotArea type="data" outline="0" fieldPosition="0">
        <references count="3">
          <reference field="4294967294" count="1" selected="0">
            <x v="0"/>
          </reference>
          <reference field="2" count="1" selected="0">
            <x v="6"/>
          </reference>
          <reference field="8" count="1" selected="0">
            <x v="3"/>
          </reference>
        </references>
      </pivotArea>
    </chartFormat>
    <chartFormat chart="2" format="83">
      <pivotArea type="data" outline="0" fieldPosition="0">
        <references count="3">
          <reference field="4294967294" count="1" selected="0">
            <x v="0"/>
          </reference>
          <reference field="2" count="1" selected="0">
            <x v="6"/>
          </reference>
          <reference field="8" count="1" selected="0">
            <x v="4"/>
          </reference>
        </references>
      </pivotArea>
    </chartFormat>
    <chartFormat chart="2" format="84">
      <pivotArea type="data" outline="0" fieldPosition="0">
        <references count="3">
          <reference field="4294967294" count="1" selected="0">
            <x v="0"/>
          </reference>
          <reference field="2" count="1" selected="0">
            <x v="6"/>
          </reference>
          <reference field="8" count="1" selected="0">
            <x v="5"/>
          </reference>
        </references>
      </pivotArea>
    </chartFormat>
    <chartFormat chart="2" format="85">
      <pivotArea type="data" outline="0" fieldPosition="0">
        <references count="3">
          <reference field="4294967294" count="1" selected="0">
            <x v="0"/>
          </reference>
          <reference field="2" count="1" selected="0">
            <x v="6"/>
          </reference>
          <reference field="8" count="1" selected="0">
            <x v="6"/>
          </reference>
        </references>
      </pivotArea>
    </chartFormat>
    <chartFormat chart="2" format="86">
      <pivotArea type="data" outline="0" fieldPosition="0">
        <references count="3">
          <reference field="4294967294" count="1" selected="0">
            <x v="0"/>
          </reference>
          <reference field="2" count="1" selected="0">
            <x v="6"/>
          </reference>
          <reference field="8" count="1" selected="0">
            <x v="7"/>
          </reference>
        </references>
      </pivotArea>
    </chartFormat>
    <chartFormat chart="2" format="87">
      <pivotArea type="data" outline="0" fieldPosition="0">
        <references count="3">
          <reference field="4294967294" count="1" selected="0">
            <x v="0"/>
          </reference>
          <reference field="2" count="1" selected="0">
            <x v="6"/>
          </reference>
          <reference field="8" count="1" selected="0">
            <x v="8"/>
          </reference>
        </references>
      </pivotArea>
    </chartFormat>
    <chartFormat chart="2" format="88">
      <pivotArea type="data" outline="0" fieldPosition="0">
        <references count="3">
          <reference field="4294967294" count="1" selected="0">
            <x v="0"/>
          </reference>
          <reference field="2" count="1" selected="0">
            <x v="6"/>
          </reference>
          <reference field="8" count="1" selected="0">
            <x v="9"/>
          </reference>
        </references>
      </pivotArea>
    </chartFormat>
    <chartFormat chart="2" format="89" series="1">
      <pivotArea type="data" outline="0" fieldPosition="0">
        <references count="2">
          <reference field="4294967294" count="1" selected="0">
            <x v="0"/>
          </reference>
          <reference field="2" count="1" selected="0">
            <x v="7"/>
          </reference>
        </references>
      </pivotArea>
    </chartFormat>
    <chartFormat chart="2" format="90">
      <pivotArea type="data" outline="0" fieldPosition="0">
        <references count="3">
          <reference field="4294967294" count="1" selected="0">
            <x v="0"/>
          </reference>
          <reference field="2" count="1" selected="0">
            <x v="7"/>
          </reference>
          <reference field="8" count="1" selected="0">
            <x v="0"/>
          </reference>
        </references>
      </pivotArea>
    </chartFormat>
    <chartFormat chart="2" format="91">
      <pivotArea type="data" outline="0" fieldPosition="0">
        <references count="3">
          <reference field="4294967294" count="1" selected="0">
            <x v="0"/>
          </reference>
          <reference field="2" count="1" selected="0">
            <x v="7"/>
          </reference>
          <reference field="8" count="1" selected="0">
            <x v="1"/>
          </reference>
        </references>
      </pivotArea>
    </chartFormat>
    <chartFormat chart="2" format="92">
      <pivotArea type="data" outline="0" fieldPosition="0">
        <references count="3">
          <reference field="4294967294" count="1" selected="0">
            <x v="0"/>
          </reference>
          <reference field="2" count="1" selected="0">
            <x v="7"/>
          </reference>
          <reference field="8" count="1" selected="0">
            <x v="2"/>
          </reference>
        </references>
      </pivotArea>
    </chartFormat>
    <chartFormat chart="2" format="93">
      <pivotArea type="data" outline="0" fieldPosition="0">
        <references count="3">
          <reference field="4294967294" count="1" selected="0">
            <x v="0"/>
          </reference>
          <reference field="2" count="1" selected="0">
            <x v="7"/>
          </reference>
          <reference field="8" count="1" selected="0">
            <x v="3"/>
          </reference>
        </references>
      </pivotArea>
    </chartFormat>
    <chartFormat chart="2" format="94">
      <pivotArea type="data" outline="0" fieldPosition="0">
        <references count="3">
          <reference field="4294967294" count="1" selected="0">
            <x v="0"/>
          </reference>
          <reference field="2" count="1" selected="0">
            <x v="7"/>
          </reference>
          <reference field="8" count="1" selected="0">
            <x v="4"/>
          </reference>
        </references>
      </pivotArea>
    </chartFormat>
    <chartFormat chart="2" format="95">
      <pivotArea type="data" outline="0" fieldPosition="0">
        <references count="3">
          <reference field="4294967294" count="1" selected="0">
            <x v="0"/>
          </reference>
          <reference field="2" count="1" selected="0">
            <x v="7"/>
          </reference>
          <reference field="8" count="1" selected="0">
            <x v="5"/>
          </reference>
        </references>
      </pivotArea>
    </chartFormat>
    <chartFormat chart="2" format="96">
      <pivotArea type="data" outline="0" fieldPosition="0">
        <references count="3">
          <reference field="4294967294" count="1" selected="0">
            <x v="0"/>
          </reference>
          <reference field="2" count="1" selected="0">
            <x v="7"/>
          </reference>
          <reference field="8" count="1" selected="0">
            <x v="6"/>
          </reference>
        </references>
      </pivotArea>
    </chartFormat>
    <chartFormat chart="2" format="97">
      <pivotArea type="data" outline="0" fieldPosition="0">
        <references count="3">
          <reference field="4294967294" count="1" selected="0">
            <x v="0"/>
          </reference>
          <reference field="2" count="1" selected="0">
            <x v="7"/>
          </reference>
          <reference field="8" count="1" selected="0">
            <x v="7"/>
          </reference>
        </references>
      </pivotArea>
    </chartFormat>
    <chartFormat chart="2" format="98">
      <pivotArea type="data" outline="0" fieldPosition="0">
        <references count="3">
          <reference field="4294967294" count="1" selected="0">
            <x v="0"/>
          </reference>
          <reference field="2" count="1" selected="0">
            <x v="7"/>
          </reference>
          <reference field="8" count="1" selected="0">
            <x v="8"/>
          </reference>
        </references>
      </pivotArea>
    </chartFormat>
    <chartFormat chart="2" format="99">
      <pivotArea type="data" outline="0" fieldPosition="0">
        <references count="3">
          <reference field="4294967294" count="1" selected="0">
            <x v="0"/>
          </reference>
          <reference field="2" count="1" selected="0">
            <x v="7"/>
          </reference>
          <reference field="8" count="1" selected="0">
            <x v="9"/>
          </reference>
        </references>
      </pivotArea>
    </chartFormat>
    <chartFormat chart="2" format="100" series="1">
      <pivotArea type="data" outline="0" fieldPosition="0">
        <references count="2">
          <reference field="4294967294" count="1" selected="0">
            <x v="0"/>
          </reference>
          <reference field="2" count="1" selected="0">
            <x v="8"/>
          </reference>
        </references>
      </pivotArea>
    </chartFormat>
    <chartFormat chart="2" format="101">
      <pivotArea type="data" outline="0" fieldPosition="0">
        <references count="3">
          <reference field="4294967294" count="1" selected="0">
            <x v="0"/>
          </reference>
          <reference field="2" count="1" selected="0">
            <x v="8"/>
          </reference>
          <reference field="8" count="1" selected="0">
            <x v="0"/>
          </reference>
        </references>
      </pivotArea>
    </chartFormat>
    <chartFormat chart="2" format="102">
      <pivotArea type="data" outline="0" fieldPosition="0">
        <references count="3">
          <reference field="4294967294" count="1" selected="0">
            <x v="0"/>
          </reference>
          <reference field="2" count="1" selected="0">
            <x v="8"/>
          </reference>
          <reference field="8" count="1" selected="0">
            <x v="1"/>
          </reference>
        </references>
      </pivotArea>
    </chartFormat>
    <chartFormat chart="2" format="103">
      <pivotArea type="data" outline="0" fieldPosition="0">
        <references count="3">
          <reference field="4294967294" count="1" selected="0">
            <x v="0"/>
          </reference>
          <reference field="2" count="1" selected="0">
            <x v="8"/>
          </reference>
          <reference field="8" count="1" selected="0">
            <x v="2"/>
          </reference>
        </references>
      </pivotArea>
    </chartFormat>
    <chartFormat chart="2" format="104">
      <pivotArea type="data" outline="0" fieldPosition="0">
        <references count="3">
          <reference field="4294967294" count="1" selected="0">
            <x v="0"/>
          </reference>
          <reference field="2" count="1" selected="0">
            <x v="8"/>
          </reference>
          <reference field="8" count="1" selected="0">
            <x v="3"/>
          </reference>
        </references>
      </pivotArea>
    </chartFormat>
    <chartFormat chart="2" format="105">
      <pivotArea type="data" outline="0" fieldPosition="0">
        <references count="3">
          <reference field="4294967294" count="1" selected="0">
            <x v="0"/>
          </reference>
          <reference field="2" count="1" selected="0">
            <x v="8"/>
          </reference>
          <reference field="8" count="1" selected="0">
            <x v="4"/>
          </reference>
        </references>
      </pivotArea>
    </chartFormat>
    <chartFormat chart="2" format="106">
      <pivotArea type="data" outline="0" fieldPosition="0">
        <references count="3">
          <reference field="4294967294" count="1" selected="0">
            <x v="0"/>
          </reference>
          <reference field="2" count="1" selected="0">
            <x v="8"/>
          </reference>
          <reference field="8" count="1" selected="0">
            <x v="5"/>
          </reference>
        </references>
      </pivotArea>
    </chartFormat>
    <chartFormat chart="2" format="107">
      <pivotArea type="data" outline="0" fieldPosition="0">
        <references count="3">
          <reference field="4294967294" count="1" selected="0">
            <x v="0"/>
          </reference>
          <reference field="2" count="1" selected="0">
            <x v="8"/>
          </reference>
          <reference field="8" count="1" selected="0">
            <x v="6"/>
          </reference>
        </references>
      </pivotArea>
    </chartFormat>
    <chartFormat chart="2" format="108">
      <pivotArea type="data" outline="0" fieldPosition="0">
        <references count="3">
          <reference field="4294967294" count="1" selected="0">
            <x v="0"/>
          </reference>
          <reference field="2" count="1" selected="0">
            <x v="8"/>
          </reference>
          <reference field="8" count="1" selected="0">
            <x v="7"/>
          </reference>
        </references>
      </pivotArea>
    </chartFormat>
    <chartFormat chart="2" format="109">
      <pivotArea type="data" outline="0" fieldPosition="0">
        <references count="3">
          <reference field="4294967294" count="1" selected="0">
            <x v="0"/>
          </reference>
          <reference field="2" count="1" selected="0">
            <x v="8"/>
          </reference>
          <reference field="8" count="1" selected="0">
            <x v="8"/>
          </reference>
        </references>
      </pivotArea>
    </chartFormat>
    <chartFormat chart="2" format="110">
      <pivotArea type="data" outline="0" fieldPosition="0">
        <references count="3">
          <reference field="4294967294" count="1" selected="0">
            <x v="0"/>
          </reference>
          <reference field="2" count="1" selected="0">
            <x v="8"/>
          </reference>
          <reference field="8" count="1" selected="0">
            <x v="9"/>
          </reference>
        </references>
      </pivotArea>
    </chartFormat>
    <chartFormat chart="2" format="111" series="1">
      <pivotArea type="data" outline="0" fieldPosition="0">
        <references count="2">
          <reference field="4294967294" count="1" selected="0">
            <x v="0"/>
          </reference>
          <reference field="2" count="1" selected="0">
            <x v="9"/>
          </reference>
        </references>
      </pivotArea>
    </chartFormat>
    <chartFormat chart="2" format="112">
      <pivotArea type="data" outline="0" fieldPosition="0">
        <references count="3">
          <reference field="4294967294" count="1" selected="0">
            <x v="0"/>
          </reference>
          <reference field="2" count="1" selected="0">
            <x v="9"/>
          </reference>
          <reference field="8" count="1" selected="0">
            <x v="0"/>
          </reference>
        </references>
      </pivotArea>
    </chartFormat>
    <chartFormat chart="2" format="113">
      <pivotArea type="data" outline="0" fieldPosition="0">
        <references count="3">
          <reference field="4294967294" count="1" selected="0">
            <x v="0"/>
          </reference>
          <reference field="2" count="1" selected="0">
            <x v="9"/>
          </reference>
          <reference field="8" count="1" selected="0">
            <x v="1"/>
          </reference>
        </references>
      </pivotArea>
    </chartFormat>
    <chartFormat chart="2" format="114">
      <pivotArea type="data" outline="0" fieldPosition="0">
        <references count="3">
          <reference field="4294967294" count="1" selected="0">
            <x v="0"/>
          </reference>
          <reference field="2" count="1" selected="0">
            <x v="9"/>
          </reference>
          <reference field="8" count="1" selected="0">
            <x v="2"/>
          </reference>
        </references>
      </pivotArea>
    </chartFormat>
    <chartFormat chart="2" format="115">
      <pivotArea type="data" outline="0" fieldPosition="0">
        <references count="3">
          <reference field="4294967294" count="1" selected="0">
            <x v="0"/>
          </reference>
          <reference field="2" count="1" selected="0">
            <x v="9"/>
          </reference>
          <reference field="8" count="1" selected="0">
            <x v="3"/>
          </reference>
        </references>
      </pivotArea>
    </chartFormat>
    <chartFormat chart="2" format="116">
      <pivotArea type="data" outline="0" fieldPosition="0">
        <references count="3">
          <reference field="4294967294" count="1" selected="0">
            <x v="0"/>
          </reference>
          <reference field="2" count="1" selected="0">
            <x v="9"/>
          </reference>
          <reference field="8" count="1" selected="0">
            <x v="4"/>
          </reference>
        </references>
      </pivotArea>
    </chartFormat>
    <chartFormat chart="2" format="117">
      <pivotArea type="data" outline="0" fieldPosition="0">
        <references count="3">
          <reference field="4294967294" count="1" selected="0">
            <x v="0"/>
          </reference>
          <reference field="2" count="1" selected="0">
            <x v="9"/>
          </reference>
          <reference field="8" count="1" selected="0">
            <x v="5"/>
          </reference>
        </references>
      </pivotArea>
    </chartFormat>
    <chartFormat chart="2" format="118">
      <pivotArea type="data" outline="0" fieldPosition="0">
        <references count="3">
          <reference field="4294967294" count="1" selected="0">
            <x v="0"/>
          </reference>
          <reference field="2" count="1" selected="0">
            <x v="9"/>
          </reference>
          <reference field="8" count="1" selected="0">
            <x v="6"/>
          </reference>
        </references>
      </pivotArea>
    </chartFormat>
    <chartFormat chart="2" format="119">
      <pivotArea type="data" outline="0" fieldPosition="0">
        <references count="3">
          <reference field="4294967294" count="1" selected="0">
            <x v="0"/>
          </reference>
          <reference field="2" count="1" selected="0">
            <x v="9"/>
          </reference>
          <reference field="8" count="1" selected="0">
            <x v="7"/>
          </reference>
        </references>
      </pivotArea>
    </chartFormat>
    <chartFormat chart="2" format="120">
      <pivotArea type="data" outline="0" fieldPosition="0">
        <references count="3">
          <reference field="4294967294" count="1" selected="0">
            <x v="0"/>
          </reference>
          <reference field="2" count="1" selected="0">
            <x v="9"/>
          </reference>
          <reference field="8" count="1" selected="0">
            <x v="8"/>
          </reference>
        </references>
      </pivotArea>
    </chartFormat>
    <chartFormat chart="2" format="121">
      <pivotArea type="data" outline="0" fieldPosition="0">
        <references count="3">
          <reference field="4294967294" count="1" selected="0">
            <x v="0"/>
          </reference>
          <reference field="2" count="1" selected="0">
            <x v="9"/>
          </reference>
          <reference field="8" count="1" selected="0">
            <x v="9"/>
          </reference>
        </references>
      </pivotArea>
    </chartFormat>
    <chartFormat chart="2" format="122" series="1">
      <pivotArea type="data" outline="0" fieldPosition="0">
        <references count="2">
          <reference field="4294967294" count="1" selected="0">
            <x v="0"/>
          </reference>
          <reference field="2" count="1" selected="0">
            <x v="10"/>
          </reference>
        </references>
      </pivotArea>
    </chartFormat>
    <chartFormat chart="2" format="123">
      <pivotArea type="data" outline="0" fieldPosition="0">
        <references count="3">
          <reference field="4294967294" count="1" selected="0">
            <x v="0"/>
          </reference>
          <reference field="2" count="1" selected="0">
            <x v="10"/>
          </reference>
          <reference field="8" count="1" selected="0">
            <x v="0"/>
          </reference>
        </references>
      </pivotArea>
    </chartFormat>
    <chartFormat chart="2" format="124">
      <pivotArea type="data" outline="0" fieldPosition="0">
        <references count="3">
          <reference field="4294967294" count="1" selected="0">
            <x v="0"/>
          </reference>
          <reference field="2" count="1" selected="0">
            <x v="10"/>
          </reference>
          <reference field="8" count="1" selected="0">
            <x v="1"/>
          </reference>
        </references>
      </pivotArea>
    </chartFormat>
    <chartFormat chart="2" format="125">
      <pivotArea type="data" outline="0" fieldPosition="0">
        <references count="3">
          <reference field="4294967294" count="1" selected="0">
            <x v="0"/>
          </reference>
          <reference field="2" count="1" selected="0">
            <x v="10"/>
          </reference>
          <reference field="8" count="1" selected="0">
            <x v="2"/>
          </reference>
        </references>
      </pivotArea>
    </chartFormat>
    <chartFormat chart="2" format="126">
      <pivotArea type="data" outline="0" fieldPosition="0">
        <references count="3">
          <reference field="4294967294" count="1" selected="0">
            <x v="0"/>
          </reference>
          <reference field="2" count="1" selected="0">
            <x v="10"/>
          </reference>
          <reference field="8" count="1" selected="0">
            <x v="3"/>
          </reference>
        </references>
      </pivotArea>
    </chartFormat>
    <chartFormat chart="2" format="127">
      <pivotArea type="data" outline="0" fieldPosition="0">
        <references count="3">
          <reference field="4294967294" count="1" selected="0">
            <x v="0"/>
          </reference>
          <reference field="2" count="1" selected="0">
            <x v="10"/>
          </reference>
          <reference field="8" count="1" selected="0">
            <x v="4"/>
          </reference>
        </references>
      </pivotArea>
    </chartFormat>
    <chartFormat chart="2" format="128">
      <pivotArea type="data" outline="0" fieldPosition="0">
        <references count="3">
          <reference field="4294967294" count="1" selected="0">
            <x v="0"/>
          </reference>
          <reference field="2" count="1" selected="0">
            <x v="10"/>
          </reference>
          <reference field="8" count="1" selected="0">
            <x v="5"/>
          </reference>
        </references>
      </pivotArea>
    </chartFormat>
    <chartFormat chart="2" format="129">
      <pivotArea type="data" outline="0" fieldPosition="0">
        <references count="3">
          <reference field="4294967294" count="1" selected="0">
            <x v="0"/>
          </reference>
          <reference field="2" count="1" selected="0">
            <x v="10"/>
          </reference>
          <reference field="8" count="1" selected="0">
            <x v="6"/>
          </reference>
        </references>
      </pivotArea>
    </chartFormat>
    <chartFormat chart="2" format="130">
      <pivotArea type="data" outline="0" fieldPosition="0">
        <references count="3">
          <reference field="4294967294" count="1" selected="0">
            <x v="0"/>
          </reference>
          <reference field="2" count="1" selected="0">
            <x v="10"/>
          </reference>
          <reference field="8" count="1" selected="0">
            <x v="7"/>
          </reference>
        </references>
      </pivotArea>
    </chartFormat>
    <chartFormat chart="2" format="131">
      <pivotArea type="data" outline="0" fieldPosition="0">
        <references count="3">
          <reference field="4294967294" count="1" selected="0">
            <x v="0"/>
          </reference>
          <reference field="2" count="1" selected="0">
            <x v="10"/>
          </reference>
          <reference field="8" count="1" selected="0">
            <x v="8"/>
          </reference>
        </references>
      </pivotArea>
    </chartFormat>
    <chartFormat chart="2" format="132">
      <pivotArea type="data" outline="0" fieldPosition="0">
        <references count="3">
          <reference field="4294967294" count="1" selected="0">
            <x v="0"/>
          </reference>
          <reference field="2" count="1" selected="0">
            <x v="10"/>
          </reference>
          <reference field="8" count="1" selected="0">
            <x v="9"/>
          </reference>
        </references>
      </pivotArea>
    </chartFormat>
    <chartFormat chart="2" format="133" series="1">
      <pivotArea type="data" outline="0" fieldPosition="0">
        <references count="2">
          <reference field="4294967294" count="1" selected="0">
            <x v="0"/>
          </reference>
          <reference field="2" count="1" selected="0">
            <x v="11"/>
          </reference>
        </references>
      </pivotArea>
    </chartFormat>
    <chartFormat chart="2" format="134">
      <pivotArea type="data" outline="0" fieldPosition="0">
        <references count="3">
          <reference field="4294967294" count="1" selected="0">
            <x v="0"/>
          </reference>
          <reference field="2" count="1" selected="0">
            <x v="11"/>
          </reference>
          <reference field="8" count="1" selected="0">
            <x v="0"/>
          </reference>
        </references>
      </pivotArea>
    </chartFormat>
    <chartFormat chart="2" format="135">
      <pivotArea type="data" outline="0" fieldPosition="0">
        <references count="3">
          <reference field="4294967294" count="1" selected="0">
            <x v="0"/>
          </reference>
          <reference field="2" count="1" selected="0">
            <x v="11"/>
          </reference>
          <reference field="8" count="1" selected="0">
            <x v="1"/>
          </reference>
        </references>
      </pivotArea>
    </chartFormat>
    <chartFormat chart="2" format="136">
      <pivotArea type="data" outline="0" fieldPosition="0">
        <references count="3">
          <reference field="4294967294" count="1" selected="0">
            <x v="0"/>
          </reference>
          <reference field="2" count="1" selected="0">
            <x v="11"/>
          </reference>
          <reference field="8" count="1" selected="0">
            <x v="2"/>
          </reference>
        </references>
      </pivotArea>
    </chartFormat>
    <chartFormat chart="2" format="137">
      <pivotArea type="data" outline="0" fieldPosition="0">
        <references count="3">
          <reference field="4294967294" count="1" selected="0">
            <x v="0"/>
          </reference>
          <reference field="2" count="1" selected="0">
            <x v="11"/>
          </reference>
          <reference field="8" count="1" selected="0">
            <x v="3"/>
          </reference>
        </references>
      </pivotArea>
    </chartFormat>
    <chartFormat chart="2" format="138">
      <pivotArea type="data" outline="0" fieldPosition="0">
        <references count="3">
          <reference field="4294967294" count="1" selected="0">
            <x v="0"/>
          </reference>
          <reference field="2" count="1" selected="0">
            <x v="11"/>
          </reference>
          <reference field="8" count="1" selected="0">
            <x v="4"/>
          </reference>
        </references>
      </pivotArea>
    </chartFormat>
    <chartFormat chart="2" format="139">
      <pivotArea type="data" outline="0" fieldPosition="0">
        <references count="3">
          <reference field="4294967294" count="1" selected="0">
            <x v="0"/>
          </reference>
          <reference field="2" count="1" selected="0">
            <x v="11"/>
          </reference>
          <reference field="8" count="1" selected="0">
            <x v="5"/>
          </reference>
        </references>
      </pivotArea>
    </chartFormat>
    <chartFormat chart="2" format="140">
      <pivotArea type="data" outline="0" fieldPosition="0">
        <references count="3">
          <reference field="4294967294" count="1" selected="0">
            <x v="0"/>
          </reference>
          <reference field="2" count="1" selected="0">
            <x v="11"/>
          </reference>
          <reference field="8" count="1" selected="0">
            <x v="6"/>
          </reference>
        </references>
      </pivotArea>
    </chartFormat>
    <chartFormat chart="2" format="141">
      <pivotArea type="data" outline="0" fieldPosition="0">
        <references count="3">
          <reference field="4294967294" count="1" selected="0">
            <x v="0"/>
          </reference>
          <reference field="2" count="1" selected="0">
            <x v="11"/>
          </reference>
          <reference field="8" count="1" selected="0">
            <x v="7"/>
          </reference>
        </references>
      </pivotArea>
    </chartFormat>
    <chartFormat chart="2" format="142">
      <pivotArea type="data" outline="0" fieldPosition="0">
        <references count="3">
          <reference field="4294967294" count="1" selected="0">
            <x v="0"/>
          </reference>
          <reference field="2" count="1" selected="0">
            <x v="11"/>
          </reference>
          <reference field="8" count="1" selected="0">
            <x v="8"/>
          </reference>
        </references>
      </pivotArea>
    </chartFormat>
    <chartFormat chart="2" format="143">
      <pivotArea type="data" outline="0" fieldPosition="0">
        <references count="3">
          <reference field="4294967294" count="1" selected="0">
            <x v="0"/>
          </reference>
          <reference field="2" count="1" selected="0">
            <x v="11"/>
          </reference>
          <reference field="8" count="1" selected="0">
            <x v="9"/>
          </reference>
        </references>
      </pivotArea>
    </chartFormat>
    <chartFormat chart="3" format="144" series="1">
      <pivotArea type="data" outline="0" fieldPosition="0">
        <references count="2">
          <reference field="4294967294" count="1" selected="0">
            <x v="0"/>
          </reference>
          <reference field="2" count="1" selected="0">
            <x v="0"/>
          </reference>
        </references>
      </pivotArea>
    </chartFormat>
    <chartFormat chart="3" format="145">
      <pivotArea type="data" outline="0" fieldPosition="0">
        <references count="3">
          <reference field="4294967294" count="1" selected="0">
            <x v="0"/>
          </reference>
          <reference field="2" count="1" selected="0">
            <x v="0"/>
          </reference>
          <reference field="8" count="1" selected="0">
            <x v="0"/>
          </reference>
        </references>
      </pivotArea>
    </chartFormat>
    <chartFormat chart="3" format="146">
      <pivotArea type="data" outline="0" fieldPosition="0">
        <references count="3">
          <reference field="4294967294" count="1" selected="0">
            <x v="0"/>
          </reference>
          <reference field="2" count="1" selected="0">
            <x v="0"/>
          </reference>
          <reference field="8" count="1" selected="0">
            <x v="1"/>
          </reference>
        </references>
      </pivotArea>
    </chartFormat>
    <chartFormat chart="3" format="147">
      <pivotArea type="data" outline="0" fieldPosition="0">
        <references count="3">
          <reference field="4294967294" count="1" selected="0">
            <x v="0"/>
          </reference>
          <reference field="2" count="1" selected="0">
            <x v="0"/>
          </reference>
          <reference field="8" count="1" selected="0">
            <x v="2"/>
          </reference>
        </references>
      </pivotArea>
    </chartFormat>
    <chartFormat chart="3" format="148">
      <pivotArea type="data" outline="0" fieldPosition="0">
        <references count="3">
          <reference field="4294967294" count="1" selected="0">
            <x v="0"/>
          </reference>
          <reference field="2" count="1" selected="0">
            <x v="0"/>
          </reference>
          <reference field="8" count="1" selected="0">
            <x v="3"/>
          </reference>
        </references>
      </pivotArea>
    </chartFormat>
    <chartFormat chart="3" format="149">
      <pivotArea type="data" outline="0" fieldPosition="0">
        <references count="3">
          <reference field="4294967294" count="1" selected="0">
            <x v="0"/>
          </reference>
          <reference field="2" count="1" selected="0">
            <x v="0"/>
          </reference>
          <reference field="8" count="1" selected="0">
            <x v="4"/>
          </reference>
        </references>
      </pivotArea>
    </chartFormat>
    <chartFormat chart="3" format="150">
      <pivotArea type="data" outline="0" fieldPosition="0">
        <references count="3">
          <reference field="4294967294" count="1" selected="0">
            <x v="0"/>
          </reference>
          <reference field="2" count="1" selected="0">
            <x v="0"/>
          </reference>
          <reference field="8" count="1" selected="0">
            <x v="5"/>
          </reference>
        </references>
      </pivotArea>
    </chartFormat>
    <chartFormat chart="3" format="151">
      <pivotArea type="data" outline="0" fieldPosition="0">
        <references count="3">
          <reference field="4294967294" count="1" selected="0">
            <x v="0"/>
          </reference>
          <reference field="2" count="1" selected="0">
            <x v="0"/>
          </reference>
          <reference field="8" count="1" selected="0">
            <x v="6"/>
          </reference>
        </references>
      </pivotArea>
    </chartFormat>
    <chartFormat chart="3" format="152">
      <pivotArea type="data" outline="0" fieldPosition="0">
        <references count="3">
          <reference field="4294967294" count="1" selected="0">
            <x v="0"/>
          </reference>
          <reference field="2" count="1" selected="0">
            <x v="0"/>
          </reference>
          <reference field="8" count="1" selected="0">
            <x v="7"/>
          </reference>
        </references>
      </pivotArea>
    </chartFormat>
    <chartFormat chart="3" format="153">
      <pivotArea type="data" outline="0" fieldPosition="0">
        <references count="3">
          <reference field="4294967294" count="1" selected="0">
            <x v="0"/>
          </reference>
          <reference field="2" count="1" selected="0">
            <x v="0"/>
          </reference>
          <reference field="8" count="1" selected="0">
            <x v="8"/>
          </reference>
        </references>
      </pivotArea>
    </chartFormat>
    <chartFormat chart="3" format="154">
      <pivotArea type="data" outline="0" fieldPosition="0">
        <references count="3">
          <reference field="4294967294" count="1" selected="0">
            <x v="0"/>
          </reference>
          <reference field="2" count="1" selected="0">
            <x v="0"/>
          </reference>
          <reference field="8" count="1" selected="0">
            <x v="9"/>
          </reference>
        </references>
      </pivotArea>
    </chartFormat>
    <chartFormat chart="3" format="155" series="1">
      <pivotArea type="data" outline="0" fieldPosition="0">
        <references count="2">
          <reference field="4294967294" count="1" selected="0">
            <x v="0"/>
          </reference>
          <reference field="2" count="1" selected="0">
            <x v="1"/>
          </reference>
        </references>
      </pivotArea>
    </chartFormat>
    <chartFormat chart="3" format="156">
      <pivotArea type="data" outline="0" fieldPosition="0">
        <references count="3">
          <reference field="4294967294" count="1" selected="0">
            <x v="0"/>
          </reference>
          <reference field="2" count="1" selected="0">
            <x v="1"/>
          </reference>
          <reference field="8" count="1" selected="0">
            <x v="0"/>
          </reference>
        </references>
      </pivotArea>
    </chartFormat>
    <chartFormat chart="3" format="157">
      <pivotArea type="data" outline="0" fieldPosition="0">
        <references count="3">
          <reference field="4294967294" count="1" selected="0">
            <x v="0"/>
          </reference>
          <reference field="2" count="1" selected="0">
            <x v="1"/>
          </reference>
          <reference field="8" count="1" selected="0">
            <x v="1"/>
          </reference>
        </references>
      </pivotArea>
    </chartFormat>
    <chartFormat chart="3" format="158">
      <pivotArea type="data" outline="0" fieldPosition="0">
        <references count="3">
          <reference field="4294967294" count="1" selected="0">
            <x v="0"/>
          </reference>
          <reference field="2" count="1" selected="0">
            <x v="1"/>
          </reference>
          <reference field="8" count="1" selected="0">
            <x v="2"/>
          </reference>
        </references>
      </pivotArea>
    </chartFormat>
    <chartFormat chart="3" format="159">
      <pivotArea type="data" outline="0" fieldPosition="0">
        <references count="3">
          <reference field="4294967294" count="1" selected="0">
            <x v="0"/>
          </reference>
          <reference field="2" count="1" selected="0">
            <x v="1"/>
          </reference>
          <reference field="8" count="1" selected="0">
            <x v="3"/>
          </reference>
        </references>
      </pivotArea>
    </chartFormat>
    <chartFormat chart="3" format="160">
      <pivotArea type="data" outline="0" fieldPosition="0">
        <references count="3">
          <reference field="4294967294" count="1" selected="0">
            <x v="0"/>
          </reference>
          <reference field="2" count="1" selected="0">
            <x v="1"/>
          </reference>
          <reference field="8" count="1" selected="0">
            <x v="4"/>
          </reference>
        </references>
      </pivotArea>
    </chartFormat>
    <chartFormat chart="3" format="161">
      <pivotArea type="data" outline="0" fieldPosition="0">
        <references count="3">
          <reference field="4294967294" count="1" selected="0">
            <x v="0"/>
          </reference>
          <reference field="2" count="1" selected="0">
            <x v="1"/>
          </reference>
          <reference field="8" count="1" selected="0">
            <x v="5"/>
          </reference>
        </references>
      </pivotArea>
    </chartFormat>
    <chartFormat chart="3" format="162">
      <pivotArea type="data" outline="0" fieldPosition="0">
        <references count="3">
          <reference field="4294967294" count="1" selected="0">
            <x v="0"/>
          </reference>
          <reference field="2" count="1" selected="0">
            <x v="1"/>
          </reference>
          <reference field="8" count="1" selected="0">
            <x v="6"/>
          </reference>
        </references>
      </pivotArea>
    </chartFormat>
    <chartFormat chart="3" format="163">
      <pivotArea type="data" outline="0" fieldPosition="0">
        <references count="3">
          <reference field="4294967294" count="1" selected="0">
            <x v="0"/>
          </reference>
          <reference field="2" count="1" selected="0">
            <x v="1"/>
          </reference>
          <reference field="8" count="1" selected="0">
            <x v="7"/>
          </reference>
        </references>
      </pivotArea>
    </chartFormat>
    <chartFormat chart="3" format="164">
      <pivotArea type="data" outline="0" fieldPosition="0">
        <references count="3">
          <reference field="4294967294" count="1" selected="0">
            <x v="0"/>
          </reference>
          <reference field="2" count="1" selected="0">
            <x v="1"/>
          </reference>
          <reference field="8" count="1" selected="0">
            <x v="8"/>
          </reference>
        </references>
      </pivotArea>
    </chartFormat>
    <chartFormat chart="3" format="165">
      <pivotArea type="data" outline="0" fieldPosition="0">
        <references count="3">
          <reference field="4294967294" count="1" selected="0">
            <x v="0"/>
          </reference>
          <reference field="2" count="1" selected="0">
            <x v="1"/>
          </reference>
          <reference field="8" count="1" selected="0">
            <x v="9"/>
          </reference>
        </references>
      </pivotArea>
    </chartFormat>
    <chartFormat chart="3" format="166" series="1">
      <pivotArea type="data" outline="0" fieldPosition="0">
        <references count="2">
          <reference field="4294967294" count="1" selected="0">
            <x v="0"/>
          </reference>
          <reference field="2" count="1" selected="0">
            <x v="2"/>
          </reference>
        </references>
      </pivotArea>
    </chartFormat>
    <chartFormat chart="3" format="167">
      <pivotArea type="data" outline="0" fieldPosition="0">
        <references count="3">
          <reference field="4294967294" count="1" selected="0">
            <x v="0"/>
          </reference>
          <reference field="2" count="1" selected="0">
            <x v="2"/>
          </reference>
          <reference field="8" count="1" selected="0">
            <x v="0"/>
          </reference>
        </references>
      </pivotArea>
    </chartFormat>
    <chartFormat chart="3" format="168">
      <pivotArea type="data" outline="0" fieldPosition="0">
        <references count="3">
          <reference field="4294967294" count="1" selected="0">
            <x v="0"/>
          </reference>
          <reference field="2" count="1" selected="0">
            <x v="2"/>
          </reference>
          <reference field="8" count="1" selected="0">
            <x v="1"/>
          </reference>
        </references>
      </pivotArea>
    </chartFormat>
    <chartFormat chart="3" format="169">
      <pivotArea type="data" outline="0" fieldPosition="0">
        <references count="3">
          <reference field="4294967294" count="1" selected="0">
            <x v="0"/>
          </reference>
          <reference field="2" count="1" selected="0">
            <x v="2"/>
          </reference>
          <reference field="8" count="1" selected="0">
            <x v="2"/>
          </reference>
        </references>
      </pivotArea>
    </chartFormat>
    <chartFormat chart="3" format="170">
      <pivotArea type="data" outline="0" fieldPosition="0">
        <references count="3">
          <reference field="4294967294" count="1" selected="0">
            <x v="0"/>
          </reference>
          <reference field="2" count="1" selected="0">
            <x v="2"/>
          </reference>
          <reference field="8" count="1" selected="0">
            <x v="3"/>
          </reference>
        </references>
      </pivotArea>
    </chartFormat>
    <chartFormat chart="3" format="171">
      <pivotArea type="data" outline="0" fieldPosition="0">
        <references count="3">
          <reference field="4294967294" count="1" selected="0">
            <x v="0"/>
          </reference>
          <reference field="2" count="1" selected="0">
            <x v="2"/>
          </reference>
          <reference field="8" count="1" selected="0">
            <x v="4"/>
          </reference>
        </references>
      </pivotArea>
    </chartFormat>
    <chartFormat chart="3" format="172">
      <pivotArea type="data" outline="0" fieldPosition="0">
        <references count="3">
          <reference field="4294967294" count="1" selected="0">
            <x v="0"/>
          </reference>
          <reference field="2" count="1" selected="0">
            <x v="2"/>
          </reference>
          <reference field="8" count="1" selected="0">
            <x v="5"/>
          </reference>
        </references>
      </pivotArea>
    </chartFormat>
    <chartFormat chart="3" format="173">
      <pivotArea type="data" outline="0" fieldPosition="0">
        <references count="3">
          <reference field="4294967294" count="1" selected="0">
            <x v="0"/>
          </reference>
          <reference field="2" count="1" selected="0">
            <x v="2"/>
          </reference>
          <reference field="8" count="1" selected="0">
            <x v="6"/>
          </reference>
        </references>
      </pivotArea>
    </chartFormat>
    <chartFormat chart="3" format="174">
      <pivotArea type="data" outline="0" fieldPosition="0">
        <references count="3">
          <reference field="4294967294" count="1" selected="0">
            <x v="0"/>
          </reference>
          <reference field="2" count="1" selected="0">
            <x v="2"/>
          </reference>
          <reference field="8" count="1" selected="0">
            <x v="7"/>
          </reference>
        </references>
      </pivotArea>
    </chartFormat>
    <chartFormat chart="3" format="175">
      <pivotArea type="data" outline="0" fieldPosition="0">
        <references count="3">
          <reference field="4294967294" count="1" selected="0">
            <x v="0"/>
          </reference>
          <reference field="2" count="1" selected="0">
            <x v="2"/>
          </reference>
          <reference field="8" count="1" selected="0">
            <x v="8"/>
          </reference>
        </references>
      </pivotArea>
    </chartFormat>
    <chartFormat chart="3" format="176">
      <pivotArea type="data" outline="0" fieldPosition="0">
        <references count="3">
          <reference field="4294967294" count="1" selected="0">
            <x v="0"/>
          </reference>
          <reference field="2" count="1" selected="0">
            <x v="2"/>
          </reference>
          <reference field="8" count="1" selected="0">
            <x v="9"/>
          </reference>
        </references>
      </pivotArea>
    </chartFormat>
    <chartFormat chart="3" format="177" series="1">
      <pivotArea type="data" outline="0" fieldPosition="0">
        <references count="2">
          <reference field="4294967294" count="1" selected="0">
            <x v="0"/>
          </reference>
          <reference field="2" count="1" selected="0">
            <x v="3"/>
          </reference>
        </references>
      </pivotArea>
    </chartFormat>
    <chartFormat chart="3" format="178">
      <pivotArea type="data" outline="0" fieldPosition="0">
        <references count="3">
          <reference field="4294967294" count="1" selected="0">
            <x v="0"/>
          </reference>
          <reference field="2" count="1" selected="0">
            <x v="3"/>
          </reference>
          <reference field="8" count="1" selected="0">
            <x v="0"/>
          </reference>
        </references>
      </pivotArea>
    </chartFormat>
    <chartFormat chart="3" format="179">
      <pivotArea type="data" outline="0" fieldPosition="0">
        <references count="3">
          <reference field="4294967294" count="1" selected="0">
            <x v="0"/>
          </reference>
          <reference field="2" count="1" selected="0">
            <x v="3"/>
          </reference>
          <reference field="8" count="1" selected="0">
            <x v="1"/>
          </reference>
        </references>
      </pivotArea>
    </chartFormat>
    <chartFormat chart="3" format="180">
      <pivotArea type="data" outline="0" fieldPosition="0">
        <references count="3">
          <reference field="4294967294" count="1" selected="0">
            <x v="0"/>
          </reference>
          <reference field="2" count="1" selected="0">
            <x v="3"/>
          </reference>
          <reference field="8" count="1" selected="0">
            <x v="2"/>
          </reference>
        </references>
      </pivotArea>
    </chartFormat>
    <chartFormat chart="3" format="181">
      <pivotArea type="data" outline="0" fieldPosition="0">
        <references count="3">
          <reference field="4294967294" count="1" selected="0">
            <x v="0"/>
          </reference>
          <reference field="2" count="1" selected="0">
            <x v="3"/>
          </reference>
          <reference field="8" count="1" selected="0">
            <x v="3"/>
          </reference>
        </references>
      </pivotArea>
    </chartFormat>
    <chartFormat chart="3" format="182">
      <pivotArea type="data" outline="0" fieldPosition="0">
        <references count="3">
          <reference field="4294967294" count="1" selected="0">
            <x v="0"/>
          </reference>
          <reference field="2" count="1" selected="0">
            <x v="3"/>
          </reference>
          <reference field="8" count="1" selected="0">
            <x v="4"/>
          </reference>
        </references>
      </pivotArea>
    </chartFormat>
    <chartFormat chart="3" format="183">
      <pivotArea type="data" outline="0" fieldPosition="0">
        <references count="3">
          <reference field="4294967294" count="1" selected="0">
            <x v="0"/>
          </reference>
          <reference field="2" count="1" selected="0">
            <x v="3"/>
          </reference>
          <reference field="8" count="1" selected="0">
            <x v="5"/>
          </reference>
        </references>
      </pivotArea>
    </chartFormat>
    <chartFormat chart="3" format="184">
      <pivotArea type="data" outline="0" fieldPosition="0">
        <references count="3">
          <reference field="4294967294" count="1" selected="0">
            <x v="0"/>
          </reference>
          <reference field="2" count="1" selected="0">
            <x v="3"/>
          </reference>
          <reference field="8" count="1" selected="0">
            <x v="6"/>
          </reference>
        </references>
      </pivotArea>
    </chartFormat>
    <chartFormat chart="3" format="185">
      <pivotArea type="data" outline="0" fieldPosition="0">
        <references count="3">
          <reference field="4294967294" count="1" selected="0">
            <x v="0"/>
          </reference>
          <reference field="2" count="1" selected="0">
            <x v="3"/>
          </reference>
          <reference field="8" count="1" selected="0">
            <x v="7"/>
          </reference>
        </references>
      </pivotArea>
    </chartFormat>
    <chartFormat chart="3" format="186">
      <pivotArea type="data" outline="0" fieldPosition="0">
        <references count="3">
          <reference field="4294967294" count="1" selected="0">
            <x v="0"/>
          </reference>
          <reference field="2" count="1" selected="0">
            <x v="3"/>
          </reference>
          <reference field="8" count="1" selected="0">
            <x v="8"/>
          </reference>
        </references>
      </pivotArea>
    </chartFormat>
    <chartFormat chart="3" format="187">
      <pivotArea type="data" outline="0" fieldPosition="0">
        <references count="3">
          <reference field="4294967294" count="1" selected="0">
            <x v="0"/>
          </reference>
          <reference field="2" count="1" selected="0">
            <x v="3"/>
          </reference>
          <reference field="8" count="1" selected="0">
            <x v="9"/>
          </reference>
        </references>
      </pivotArea>
    </chartFormat>
    <chartFormat chart="3" format="188" series="1">
      <pivotArea type="data" outline="0" fieldPosition="0">
        <references count="2">
          <reference field="4294967294" count="1" selected="0">
            <x v="0"/>
          </reference>
          <reference field="2" count="1" selected="0">
            <x v="4"/>
          </reference>
        </references>
      </pivotArea>
    </chartFormat>
    <chartFormat chart="3" format="189">
      <pivotArea type="data" outline="0" fieldPosition="0">
        <references count="3">
          <reference field="4294967294" count="1" selected="0">
            <x v="0"/>
          </reference>
          <reference field="2" count="1" selected="0">
            <x v="4"/>
          </reference>
          <reference field="8" count="1" selected="0">
            <x v="0"/>
          </reference>
        </references>
      </pivotArea>
    </chartFormat>
    <chartFormat chart="3" format="190">
      <pivotArea type="data" outline="0" fieldPosition="0">
        <references count="3">
          <reference field="4294967294" count="1" selected="0">
            <x v="0"/>
          </reference>
          <reference field="2" count="1" selected="0">
            <x v="4"/>
          </reference>
          <reference field="8" count="1" selected="0">
            <x v="1"/>
          </reference>
        </references>
      </pivotArea>
    </chartFormat>
    <chartFormat chart="3" format="191">
      <pivotArea type="data" outline="0" fieldPosition="0">
        <references count="3">
          <reference field="4294967294" count="1" selected="0">
            <x v="0"/>
          </reference>
          <reference field="2" count="1" selected="0">
            <x v="4"/>
          </reference>
          <reference field="8" count="1" selected="0">
            <x v="2"/>
          </reference>
        </references>
      </pivotArea>
    </chartFormat>
    <chartFormat chart="3" format="192">
      <pivotArea type="data" outline="0" fieldPosition="0">
        <references count="3">
          <reference field="4294967294" count="1" selected="0">
            <x v="0"/>
          </reference>
          <reference field="2" count="1" selected="0">
            <x v="4"/>
          </reference>
          <reference field="8" count="1" selected="0">
            <x v="3"/>
          </reference>
        </references>
      </pivotArea>
    </chartFormat>
    <chartFormat chart="3" format="193">
      <pivotArea type="data" outline="0" fieldPosition="0">
        <references count="3">
          <reference field="4294967294" count="1" selected="0">
            <x v="0"/>
          </reference>
          <reference field="2" count="1" selected="0">
            <x v="4"/>
          </reference>
          <reference field="8" count="1" selected="0">
            <x v="4"/>
          </reference>
        </references>
      </pivotArea>
    </chartFormat>
    <chartFormat chart="3" format="194">
      <pivotArea type="data" outline="0" fieldPosition="0">
        <references count="3">
          <reference field="4294967294" count="1" selected="0">
            <x v="0"/>
          </reference>
          <reference field="2" count="1" selected="0">
            <x v="4"/>
          </reference>
          <reference field="8" count="1" selected="0">
            <x v="5"/>
          </reference>
        </references>
      </pivotArea>
    </chartFormat>
    <chartFormat chart="3" format="195">
      <pivotArea type="data" outline="0" fieldPosition="0">
        <references count="3">
          <reference field="4294967294" count="1" selected="0">
            <x v="0"/>
          </reference>
          <reference field="2" count="1" selected="0">
            <x v="4"/>
          </reference>
          <reference field="8" count="1" selected="0">
            <x v="6"/>
          </reference>
        </references>
      </pivotArea>
    </chartFormat>
    <chartFormat chart="3" format="196">
      <pivotArea type="data" outline="0" fieldPosition="0">
        <references count="3">
          <reference field="4294967294" count="1" selected="0">
            <x v="0"/>
          </reference>
          <reference field="2" count="1" selected="0">
            <x v="4"/>
          </reference>
          <reference field="8" count="1" selected="0">
            <x v="7"/>
          </reference>
        </references>
      </pivotArea>
    </chartFormat>
    <chartFormat chart="3" format="197">
      <pivotArea type="data" outline="0" fieldPosition="0">
        <references count="3">
          <reference field="4294967294" count="1" selected="0">
            <x v="0"/>
          </reference>
          <reference field="2" count="1" selected="0">
            <x v="4"/>
          </reference>
          <reference field="8" count="1" selected="0">
            <x v="8"/>
          </reference>
        </references>
      </pivotArea>
    </chartFormat>
    <chartFormat chart="3" format="198">
      <pivotArea type="data" outline="0" fieldPosition="0">
        <references count="3">
          <reference field="4294967294" count="1" selected="0">
            <x v="0"/>
          </reference>
          <reference field="2" count="1" selected="0">
            <x v="4"/>
          </reference>
          <reference field="8" count="1" selected="0">
            <x v="9"/>
          </reference>
        </references>
      </pivotArea>
    </chartFormat>
    <chartFormat chart="3" format="199" series="1">
      <pivotArea type="data" outline="0" fieldPosition="0">
        <references count="2">
          <reference field="4294967294" count="1" selected="0">
            <x v="0"/>
          </reference>
          <reference field="2" count="1" selected="0">
            <x v="5"/>
          </reference>
        </references>
      </pivotArea>
    </chartFormat>
    <chartFormat chart="3" format="200">
      <pivotArea type="data" outline="0" fieldPosition="0">
        <references count="3">
          <reference field="4294967294" count="1" selected="0">
            <x v="0"/>
          </reference>
          <reference field="2" count="1" selected="0">
            <x v="5"/>
          </reference>
          <reference field="8" count="1" selected="0">
            <x v="0"/>
          </reference>
        </references>
      </pivotArea>
    </chartFormat>
    <chartFormat chart="3" format="201">
      <pivotArea type="data" outline="0" fieldPosition="0">
        <references count="3">
          <reference field="4294967294" count="1" selected="0">
            <x v="0"/>
          </reference>
          <reference field="2" count="1" selected="0">
            <x v="5"/>
          </reference>
          <reference field="8" count="1" selected="0">
            <x v="1"/>
          </reference>
        </references>
      </pivotArea>
    </chartFormat>
    <chartFormat chart="3" format="202">
      <pivotArea type="data" outline="0" fieldPosition="0">
        <references count="3">
          <reference field="4294967294" count="1" selected="0">
            <x v="0"/>
          </reference>
          <reference field="2" count="1" selected="0">
            <x v="5"/>
          </reference>
          <reference field="8" count="1" selected="0">
            <x v="2"/>
          </reference>
        </references>
      </pivotArea>
    </chartFormat>
    <chartFormat chart="3" format="203">
      <pivotArea type="data" outline="0" fieldPosition="0">
        <references count="3">
          <reference field="4294967294" count="1" selected="0">
            <x v="0"/>
          </reference>
          <reference field="2" count="1" selected="0">
            <x v="5"/>
          </reference>
          <reference field="8" count="1" selected="0">
            <x v="3"/>
          </reference>
        </references>
      </pivotArea>
    </chartFormat>
    <chartFormat chart="3" format="204">
      <pivotArea type="data" outline="0" fieldPosition="0">
        <references count="3">
          <reference field="4294967294" count="1" selected="0">
            <x v="0"/>
          </reference>
          <reference field="2" count="1" selected="0">
            <x v="5"/>
          </reference>
          <reference field="8" count="1" selected="0">
            <x v="4"/>
          </reference>
        </references>
      </pivotArea>
    </chartFormat>
    <chartFormat chart="3" format="205">
      <pivotArea type="data" outline="0" fieldPosition="0">
        <references count="3">
          <reference field="4294967294" count="1" selected="0">
            <x v="0"/>
          </reference>
          <reference field="2" count="1" selected="0">
            <x v="5"/>
          </reference>
          <reference field="8" count="1" selected="0">
            <x v="5"/>
          </reference>
        </references>
      </pivotArea>
    </chartFormat>
    <chartFormat chart="3" format="206">
      <pivotArea type="data" outline="0" fieldPosition="0">
        <references count="3">
          <reference field="4294967294" count="1" selected="0">
            <x v="0"/>
          </reference>
          <reference field="2" count="1" selected="0">
            <x v="5"/>
          </reference>
          <reference field="8" count="1" selected="0">
            <x v="6"/>
          </reference>
        </references>
      </pivotArea>
    </chartFormat>
    <chartFormat chart="3" format="207">
      <pivotArea type="data" outline="0" fieldPosition="0">
        <references count="3">
          <reference field="4294967294" count="1" selected="0">
            <x v="0"/>
          </reference>
          <reference field="2" count="1" selected="0">
            <x v="5"/>
          </reference>
          <reference field="8" count="1" selected="0">
            <x v="7"/>
          </reference>
        </references>
      </pivotArea>
    </chartFormat>
    <chartFormat chart="3" format="208">
      <pivotArea type="data" outline="0" fieldPosition="0">
        <references count="3">
          <reference field="4294967294" count="1" selected="0">
            <x v="0"/>
          </reference>
          <reference field="2" count="1" selected="0">
            <x v="5"/>
          </reference>
          <reference field="8" count="1" selected="0">
            <x v="8"/>
          </reference>
        </references>
      </pivotArea>
    </chartFormat>
    <chartFormat chart="3" format="209">
      <pivotArea type="data" outline="0" fieldPosition="0">
        <references count="3">
          <reference field="4294967294" count="1" selected="0">
            <x v="0"/>
          </reference>
          <reference field="2" count="1" selected="0">
            <x v="5"/>
          </reference>
          <reference field="8" count="1" selected="0">
            <x v="9"/>
          </reference>
        </references>
      </pivotArea>
    </chartFormat>
    <chartFormat chart="3" format="210" series="1">
      <pivotArea type="data" outline="0" fieldPosition="0">
        <references count="2">
          <reference field="4294967294" count="1" selected="0">
            <x v="0"/>
          </reference>
          <reference field="2" count="1" selected="0">
            <x v="6"/>
          </reference>
        </references>
      </pivotArea>
    </chartFormat>
    <chartFormat chart="3" format="211">
      <pivotArea type="data" outline="0" fieldPosition="0">
        <references count="3">
          <reference field="4294967294" count="1" selected="0">
            <x v="0"/>
          </reference>
          <reference field="2" count="1" selected="0">
            <x v="6"/>
          </reference>
          <reference field="8" count="1" selected="0">
            <x v="0"/>
          </reference>
        </references>
      </pivotArea>
    </chartFormat>
    <chartFormat chart="3" format="212">
      <pivotArea type="data" outline="0" fieldPosition="0">
        <references count="3">
          <reference field="4294967294" count="1" selected="0">
            <x v="0"/>
          </reference>
          <reference field="2" count="1" selected="0">
            <x v="6"/>
          </reference>
          <reference field="8" count="1" selected="0">
            <x v="1"/>
          </reference>
        </references>
      </pivotArea>
    </chartFormat>
    <chartFormat chart="3" format="213">
      <pivotArea type="data" outline="0" fieldPosition="0">
        <references count="3">
          <reference field="4294967294" count="1" selected="0">
            <x v="0"/>
          </reference>
          <reference field="2" count="1" selected="0">
            <x v="6"/>
          </reference>
          <reference field="8" count="1" selected="0">
            <x v="2"/>
          </reference>
        </references>
      </pivotArea>
    </chartFormat>
    <chartFormat chart="3" format="214">
      <pivotArea type="data" outline="0" fieldPosition="0">
        <references count="3">
          <reference field="4294967294" count="1" selected="0">
            <x v="0"/>
          </reference>
          <reference field="2" count="1" selected="0">
            <x v="6"/>
          </reference>
          <reference field="8" count="1" selected="0">
            <x v="3"/>
          </reference>
        </references>
      </pivotArea>
    </chartFormat>
    <chartFormat chart="3" format="215">
      <pivotArea type="data" outline="0" fieldPosition="0">
        <references count="3">
          <reference field="4294967294" count="1" selected="0">
            <x v="0"/>
          </reference>
          <reference field="2" count="1" selected="0">
            <x v="6"/>
          </reference>
          <reference field="8" count="1" selected="0">
            <x v="4"/>
          </reference>
        </references>
      </pivotArea>
    </chartFormat>
    <chartFormat chart="3" format="216">
      <pivotArea type="data" outline="0" fieldPosition="0">
        <references count="3">
          <reference field="4294967294" count="1" selected="0">
            <x v="0"/>
          </reference>
          <reference field="2" count="1" selected="0">
            <x v="6"/>
          </reference>
          <reference field="8" count="1" selected="0">
            <x v="5"/>
          </reference>
        </references>
      </pivotArea>
    </chartFormat>
    <chartFormat chart="3" format="217">
      <pivotArea type="data" outline="0" fieldPosition="0">
        <references count="3">
          <reference field="4294967294" count="1" selected="0">
            <x v="0"/>
          </reference>
          <reference field="2" count="1" selected="0">
            <x v="6"/>
          </reference>
          <reference field="8" count="1" selected="0">
            <x v="6"/>
          </reference>
        </references>
      </pivotArea>
    </chartFormat>
    <chartFormat chart="3" format="218">
      <pivotArea type="data" outline="0" fieldPosition="0">
        <references count="3">
          <reference field="4294967294" count="1" selected="0">
            <x v="0"/>
          </reference>
          <reference field="2" count="1" selected="0">
            <x v="6"/>
          </reference>
          <reference field="8" count="1" selected="0">
            <x v="7"/>
          </reference>
        </references>
      </pivotArea>
    </chartFormat>
    <chartFormat chart="3" format="219">
      <pivotArea type="data" outline="0" fieldPosition="0">
        <references count="3">
          <reference field="4294967294" count="1" selected="0">
            <x v="0"/>
          </reference>
          <reference field="2" count="1" selected="0">
            <x v="6"/>
          </reference>
          <reference field="8" count="1" selected="0">
            <x v="8"/>
          </reference>
        </references>
      </pivotArea>
    </chartFormat>
    <chartFormat chart="3" format="220">
      <pivotArea type="data" outline="0" fieldPosition="0">
        <references count="3">
          <reference field="4294967294" count="1" selected="0">
            <x v="0"/>
          </reference>
          <reference field="2" count="1" selected="0">
            <x v="6"/>
          </reference>
          <reference field="8" count="1" selected="0">
            <x v="9"/>
          </reference>
        </references>
      </pivotArea>
    </chartFormat>
    <chartFormat chart="3" format="221" series="1">
      <pivotArea type="data" outline="0" fieldPosition="0">
        <references count="2">
          <reference field="4294967294" count="1" selected="0">
            <x v="0"/>
          </reference>
          <reference field="2" count="1" selected="0">
            <x v="7"/>
          </reference>
        </references>
      </pivotArea>
    </chartFormat>
    <chartFormat chart="3" format="222">
      <pivotArea type="data" outline="0" fieldPosition="0">
        <references count="3">
          <reference field="4294967294" count="1" selected="0">
            <x v="0"/>
          </reference>
          <reference field="2" count="1" selected="0">
            <x v="7"/>
          </reference>
          <reference field="8" count="1" selected="0">
            <x v="0"/>
          </reference>
        </references>
      </pivotArea>
    </chartFormat>
    <chartFormat chart="3" format="223">
      <pivotArea type="data" outline="0" fieldPosition="0">
        <references count="3">
          <reference field="4294967294" count="1" selected="0">
            <x v="0"/>
          </reference>
          <reference field="2" count="1" selected="0">
            <x v="7"/>
          </reference>
          <reference field="8" count="1" selected="0">
            <x v="1"/>
          </reference>
        </references>
      </pivotArea>
    </chartFormat>
    <chartFormat chart="3" format="224">
      <pivotArea type="data" outline="0" fieldPosition="0">
        <references count="3">
          <reference field="4294967294" count="1" selected="0">
            <x v="0"/>
          </reference>
          <reference field="2" count="1" selected="0">
            <x v="7"/>
          </reference>
          <reference field="8" count="1" selected="0">
            <x v="2"/>
          </reference>
        </references>
      </pivotArea>
    </chartFormat>
    <chartFormat chart="3" format="225">
      <pivotArea type="data" outline="0" fieldPosition="0">
        <references count="3">
          <reference field="4294967294" count="1" selected="0">
            <x v="0"/>
          </reference>
          <reference field="2" count="1" selected="0">
            <x v="7"/>
          </reference>
          <reference field="8" count="1" selected="0">
            <x v="3"/>
          </reference>
        </references>
      </pivotArea>
    </chartFormat>
    <chartFormat chart="3" format="226">
      <pivotArea type="data" outline="0" fieldPosition="0">
        <references count="3">
          <reference field="4294967294" count="1" selected="0">
            <x v="0"/>
          </reference>
          <reference field="2" count="1" selected="0">
            <x v="7"/>
          </reference>
          <reference field="8" count="1" selected="0">
            <x v="4"/>
          </reference>
        </references>
      </pivotArea>
    </chartFormat>
    <chartFormat chart="3" format="227">
      <pivotArea type="data" outline="0" fieldPosition="0">
        <references count="3">
          <reference field="4294967294" count="1" selected="0">
            <x v="0"/>
          </reference>
          <reference field="2" count="1" selected="0">
            <x v="7"/>
          </reference>
          <reference field="8" count="1" selected="0">
            <x v="5"/>
          </reference>
        </references>
      </pivotArea>
    </chartFormat>
    <chartFormat chart="3" format="228">
      <pivotArea type="data" outline="0" fieldPosition="0">
        <references count="3">
          <reference field="4294967294" count="1" selected="0">
            <x v="0"/>
          </reference>
          <reference field="2" count="1" selected="0">
            <x v="7"/>
          </reference>
          <reference field="8" count="1" selected="0">
            <x v="6"/>
          </reference>
        </references>
      </pivotArea>
    </chartFormat>
    <chartFormat chart="3" format="229">
      <pivotArea type="data" outline="0" fieldPosition="0">
        <references count="3">
          <reference field="4294967294" count="1" selected="0">
            <x v="0"/>
          </reference>
          <reference field="2" count="1" selected="0">
            <x v="7"/>
          </reference>
          <reference field="8" count="1" selected="0">
            <x v="7"/>
          </reference>
        </references>
      </pivotArea>
    </chartFormat>
    <chartFormat chart="3" format="230">
      <pivotArea type="data" outline="0" fieldPosition="0">
        <references count="3">
          <reference field="4294967294" count="1" selected="0">
            <x v="0"/>
          </reference>
          <reference field="2" count="1" selected="0">
            <x v="7"/>
          </reference>
          <reference field="8" count="1" selected="0">
            <x v="8"/>
          </reference>
        </references>
      </pivotArea>
    </chartFormat>
    <chartFormat chart="3" format="231">
      <pivotArea type="data" outline="0" fieldPosition="0">
        <references count="3">
          <reference field="4294967294" count="1" selected="0">
            <x v="0"/>
          </reference>
          <reference field="2" count="1" selected="0">
            <x v="7"/>
          </reference>
          <reference field="8" count="1" selected="0">
            <x v="9"/>
          </reference>
        </references>
      </pivotArea>
    </chartFormat>
    <chartFormat chart="3" format="232" series="1">
      <pivotArea type="data" outline="0" fieldPosition="0">
        <references count="2">
          <reference field="4294967294" count="1" selected="0">
            <x v="0"/>
          </reference>
          <reference field="2" count="1" selected="0">
            <x v="8"/>
          </reference>
        </references>
      </pivotArea>
    </chartFormat>
    <chartFormat chart="3" format="233">
      <pivotArea type="data" outline="0" fieldPosition="0">
        <references count="3">
          <reference field="4294967294" count="1" selected="0">
            <x v="0"/>
          </reference>
          <reference field="2" count="1" selected="0">
            <x v="8"/>
          </reference>
          <reference field="8" count="1" selected="0">
            <x v="0"/>
          </reference>
        </references>
      </pivotArea>
    </chartFormat>
    <chartFormat chart="3" format="234">
      <pivotArea type="data" outline="0" fieldPosition="0">
        <references count="3">
          <reference field="4294967294" count="1" selected="0">
            <x v="0"/>
          </reference>
          <reference field="2" count="1" selected="0">
            <x v="8"/>
          </reference>
          <reference field="8" count="1" selected="0">
            <x v="1"/>
          </reference>
        </references>
      </pivotArea>
    </chartFormat>
    <chartFormat chart="3" format="235">
      <pivotArea type="data" outline="0" fieldPosition="0">
        <references count="3">
          <reference field="4294967294" count="1" selected="0">
            <x v="0"/>
          </reference>
          <reference field="2" count="1" selected="0">
            <x v="8"/>
          </reference>
          <reference field="8" count="1" selected="0">
            <x v="2"/>
          </reference>
        </references>
      </pivotArea>
    </chartFormat>
    <chartFormat chart="3" format="236">
      <pivotArea type="data" outline="0" fieldPosition="0">
        <references count="3">
          <reference field="4294967294" count="1" selected="0">
            <x v="0"/>
          </reference>
          <reference field="2" count="1" selected="0">
            <x v="8"/>
          </reference>
          <reference field="8" count="1" selected="0">
            <x v="3"/>
          </reference>
        </references>
      </pivotArea>
    </chartFormat>
    <chartFormat chart="3" format="237">
      <pivotArea type="data" outline="0" fieldPosition="0">
        <references count="3">
          <reference field="4294967294" count="1" selected="0">
            <x v="0"/>
          </reference>
          <reference field="2" count="1" selected="0">
            <x v="8"/>
          </reference>
          <reference field="8" count="1" selected="0">
            <x v="4"/>
          </reference>
        </references>
      </pivotArea>
    </chartFormat>
    <chartFormat chart="3" format="238">
      <pivotArea type="data" outline="0" fieldPosition="0">
        <references count="3">
          <reference field="4294967294" count="1" selected="0">
            <x v="0"/>
          </reference>
          <reference field="2" count="1" selected="0">
            <x v="8"/>
          </reference>
          <reference field="8" count="1" selected="0">
            <x v="5"/>
          </reference>
        </references>
      </pivotArea>
    </chartFormat>
    <chartFormat chart="3" format="239">
      <pivotArea type="data" outline="0" fieldPosition="0">
        <references count="3">
          <reference field="4294967294" count="1" selected="0">
            <x v="0"/>
          </reference>
          <reference field="2" count="1" selected="0">
            <x v="8"/>
          </reference>
          <reference field="8" count="1" selected="0">
            <x v="6"/>
          </reference>
        </references>
      </pivotArea>
    </chartFormat>
    <chartFormat chart="3" format="240">
      <pivotArea type="data" outline="0" fieldPosition="0">
        <references count="3">
          <reference field="4294967294" count="1" selected="0">
            <x v="0"/>
          </reference>
          <reference field="2" count="1" selected="0">
            <x v="8"/>
          </reference>
          <reference field="8" count="1" selected="0">
            <x v="7"/>
          </reference>
        </references>
      </pivotArea>
    </chartFormat>
    <chartFormat chart="3" format="241">
      <pivotArea type="data" outline="0" fieldPosition="0">
        <references count="3">
          <reference field="4294967294" count="1" selected="0">
            <x v="0"/>
          </reference>
          <reference field="2" count="1" selected="0">
            <x v="8"/>
          </reference>
          <reference field="8" count="1" selected="0">
            <x v="8"/>
          </reference>
        </references>
      </pivotArea>
    </chartFormat>
    <chartFormat chart="3" format="242">
      <pivotArea type="data" outline="0" fieldPosition="0">
        <references count="3">
          <reference field="4294967294" count="1" selected="0">
            <x v="0"/>
          </reference>
          <reference field="2" count="1" selected="0">
            <x v="8"/>
          </reference>
          <reference field="8" count="1" selected="0">
            <x v="9"/>
          </reference>
        </references>
      </pivotArea>
    </chartFormat>
    <chartFormat chart="3" format="243" series="1">
      <pivotArea type="data" outline="0" fieldPosition="0">
        <references count="2">
          <reference field="4294967294" count="1" selected="0">
            <x v="0"/>
          </reference>
          <reference field="2" count="1" selected="0">
            <x v="9"/>
          </reference>
        </references>
      </pivotArea>
    </chartFormat>
    <chartFormat chart="3" format="244">
      <pivotArea type="data" outline="0" fieldPosition="0">
        <references count="3">
          <reference field="4294967294" count="1" selected="0">
            <x v="0"/>
          </reference>
          <reference field="2" count="1" selected="0">
            <x v="9"/>
          </reference>
          <reference field="8" count="1" selected="0">
            <x v="0"/>
          </reference>
        </references>
      </pivotArea>
    </chartFormat>
    <chartFormat chart="3" format="245">
      <pivotArea type="data" outline="0" fieldPosition="0">
        <references count="3">
          <reference field="4294967294" count="1" selected="0">
            <x v="0"/>
          </reference>
          <reference field="2" count="1" selected="0">
            <x v="9"/>
          </reference>
          <reference field="8" count="1" selected="0">
            <x v="1"/>
          </reference>
        </references>
      </pivotArea>
    </chartFormat>
    <chartFormat chart="3" format="246">
      <pivotArea type="data" outline="0" fieldPosition="0">
        <references count="3">
          <reference field="4294967294" count="1" selected="0">
            <x v="0"/>
          </reference>
          <reference field="2" count="1" selected="0">
            <x v="9"/>
          </reference>
          <reference field="8" count="1" selected="0">
            <x v="2"/>
          </reference>
        </references>
      </pivotArea>
    </chartFormat>
    <chartFormat chart="3" format="247">
      <pivotArea type="data" outline="0" fieldPosition="0">
        <references count="3">
          <reference field="4294967294" count="1" selected="0">
            <x v="0"/>
          </reference>
          <reference field="2" count="1" selected="0">
            <x v="9"/>
          </reference>
          <reference field="8" count="1" selected="0">
            <x v="3"/>
          </reference>
        </references>
      </pivotArea>
    </chartFormat>
    <chartFormat chart="3" format="248">
      <pivotArea type="data" outline="0" fieldPosition="0">
        <references count="3">
          <reference field="4294967294" count="1" selected="0">
            <x v="0"/>
          </reference>
          <reference field="2" count="1" selected="0">
            <x v="9"/>
          </reference>
          <reference field="8" count="1" selected="0">
            <x v="4"/>
          </reference>
        </references>
      </pivotArea>
    </chartFormat>
    <chartFormat chart="3" format="249">
      <pivotArea type="data" outline="0" fieldPosition="0">
        <references count="3">
          <reference field="4294967294" count="1" selected="0">
            <x v="0"/>
          </reference>
          <reference field="2" count="1" selected="0">
            <x v="9"/>
          </reference>
          <reference field="8" count="1" selected="0">
            <x v="5"/>
          </reference>
        </references>
      </pivotArea>
    </chartFormat>
    <chartFormat chart="3" format="250">
      <pivotArea type="data" outline="0" fieldPosition="0">
        <references count="3">
          <reference field="4294967294" count="1" selected="0">
            <x v="0"/>
          </reference>
          <reference field="2" count="1" selected="0">
            <x v="9"/>
          </reference>
          <reference field="8" count="1" selected="0">
            <x v="6"/>
          </reference>
        </references>
      </pivotArea>
    </chartFormat>
    <chartFormat chart="3" format="251">
      <pivotArea type="data" outline="0" fieldPosition="0">
        <references count="3">
          <reference field="4294967294" count="1" selected="0">
            <x v="0"/>
          </reference>
          <reference field="2" count="1" selected="0">
            <x v="9"/>
          </reference>
          <reference field="8" count="1" selected="0">
            <x v="7"/>
          </reference>
        </references>
      </pivotArea>
    </chartFormat>
    <chartFormat chart="3" format="252">
      <pivotArea type="data" outline="0" fieldPosition="0">
        <references count="3">
          <reference field="4294967294" count="1" selected="0">
            <x v="0"/>
          </reference>
          <reference field="2" count="1" selected="0">
            <x v="9"/>
          </reference>
          <reference field="8" count="1" selected="0">
            <x v="8"/>
          </reference>
        </references>
      </pivotArea>
    </chartFormat>
    <chartFormat chart="3" format="253">
      <pivotArea type="data" outline="0" fieldPosition="0">
        <references count="3">
          <reference field="4294967294" count="1" selected="0">
            <x v="0"/>
          </reference>
          <reference field="2" count="1" selected="0">
            <x v="9"/>
          </reference>
          <reference field="8" count="1" selected="0">
            <x v="9"/>
          </reference>
        </references>
      </pivotArea>
    </chartFormat>
    <chartFormat chart="3" format="254" series="1">
      <pivotArea type="data" outline="0" fieldPosition="0">
        <references count="2">
          <reference field="4294967294" count="1" selected="0">
            <x v="0"/>
          </reference>
          <reference field="2" count="1" selected="0">
            <x v="10"/>
          </reference>
        </references>
      </pivotArea>
    </chartFormat>
    <chartFormat chart="3" format="255">
      <pivotArea type="data" outline="0" fieldPosition="0">
        <references count="3">
          <reference field="4294967294" count="1" selected="0">
            <x v="0"/>
          </reference>
          <reference field="2" count="1" selected="0">
            <x v="10"/>
          </reference>
          <reference field="8" count="1" selected="0">
            <x v="0"/>
          </reference>
        </references>
      </pivotArea>
    </chartFormat>
    <chartFormat chart="3" format="256">
      <pivotArea type="data" outline="0" fieldPosition="0">
        <references count="3">
          <reference field="4294967294" count="1" selected="0">
            <x v="0"/>
          </reference>
          <reference field="2" count="1" selected="0">
            <x v="10"/>
          </reference>
          <reference field="8" count="1" selected="0">
            <x v="1"/>
          </reference>
        </references>
      </pivotArea>
    </chartFormat>
    <chartFormat chart="3" format="257">
      <pivotArea type="data" outline="0" fieldPosition="0">
        <references count="3">
          <reference field="4294967294" count="1" selected="0">
            <x v="0"/>
          </reference>
          <reference field="2" count="1" selected="0">
            <x v="10"/>
          </reference>
          <reference field="8" count="1" selected="0">
            <x v="2"/>
          </reference>
        </references>
      </pivotArea>
    </chartFormat>
    <chartFormat chart="3" format="258">
      <pivotArea type="data" outline="0" fieldPosition="0">
        <references count="3">
          <reference field="4294967294" count="1" selected="0">
            <x v="0"/>
          </reference>
          <reference field="2" count="1" selected="0">
            <x v="10"/>
          </reference>
          <reference field="8" count="1" selected="0">
            <x v="3"/>
          </reference>
        </references>
      </pivotArea>
    </chartFormat>
    <chartFormat chart="3" format="259">
      <pivotArea type="data" outline="0" fieldPosition="0">
        <references count="3">
          <reference field="4294967294" count="1" selected="0">
            <x v="0"/>
          </reference>
          <reference field="2" count="1" selected="0">
            <x v="10"/>
          </reference>
          <reference field="8" count="1" selected="0">
            <x v="4"/>
          </reference>
        </references>
      </pivotArea>
    </chartFormat>
    <chartFormat chart="3" format="260">
      <pivotArea type="data" outline="0" fieldPosition="0">
        <references count="3">
          <reference field="4294967294" count="1" selected="0">
            <x v="0"/>
          </reference>
          <reference field="2" count="1" selected="0">
            <x v="10"/>
          </reference>
          <reference field="8" count="1" selected="0">
            <x v="5"/>
          </reference>
        </references>
      </pivotArea>
    </chartFormat>
    <chartFormat chart="3" format="261">
      <pivotArea type="data" outline="0" fieldPosition="0">
        <references count="3">
          <reference field="4294967294" count="1" selected="0">
            <x v="0"/>
          </reference>
          <reference field="2" count="1" selected="0">
            <x v="10"/>
          </reference>
          <reference field="8" count="1" selected="0">
            <x v="6"/>
          </reference>
        </references>
      </pivotArea>
    </chartFormat>
    <chartFormat chart="3" format="262">
      <pivotArea type="data" outline="0" fieldPosition="0">
        <references count="3">
          <reference field="4294967294" count="1" selected="0">
            <x v="0"/>
          </reference>
          <reference field="2" count="1" selected="0">
            <x v="10"/>
          </reference>
          <reference field="8" count="1" selected="0">
            <x v="7"/>
          </reference>
        </references>
      </pivotArea>
    </chartFormat>
    <chartFormat chart="3" format="263">
      <pivotArea type="data" outline="0" fieldPosition="0">
        <references count="3">
          <reference field="4294967294" count="1" selected="0">
            <x v="0"/>
          </reference>
          <reference field="2" count="1" selected="0">
            <x v="10"/>
          </reference>
          <reference field="8" count="1" selected="0">
            <x v="8"/>
          </reference>
        </references>
      </pivotArea>
    </chartFormat>
    <chartFormat chart="3" format="264">
      <pivotArea type="data" outline="0" fieldPosition="0">
        <references count="3">
          <reference field="4294967294" count="1" selected="0">
            <x v="0"/>
          </reference>
          <reference field="2" count="1" selected="0">
            <x v="10"/>
          </reference>
          <reference field="8" count="1" selected="0">
            <x v="9"/>
          </reference>
        </references>
      </pivotArea>
    </chartFormat>
    <chartFormat chart="3" format="265" series="1">
      <pivotArea type="data" outline="0" fieldPosition="0">
        <references count="2">
          <reference field="4294967294" count="1" selected="0">
            <x v="0"/>
          </reference>
          <reference field="2" count="1" selected="0">
            <x v="11"/>
          </reference>
        </references>
      </pivotArea>
    </chartFormat>
    <chartFormat chart="3" format="266">
      <pivotArea type="data" outline="0" fieldPosition="0">
        <references count="3">
          <reference field="4294967294" count="1" selected="0">
            <x v="0"/>
          </reference>
          <reference field="2" count="1" selected="0">
            <x v="11"/>
          </reference>
          <reference field="8" count="1" selected="0">
            <x v="0"/>
          </reference>
        </references>
      </pivotArea>
    </chartFormat>
    <chartFormat chart="3" format="267">
      <pivotArea type="data" outline="0" fieldPosition="0">
        <references count="3">
          <reference field="4294967294" count="1" selected="0">
            <x v="0"/>
          </reference>
          <reference field="2" count="1" selected="0">
            <x v="11"/>
          </reference>
          <reference field="8" count="1" selected="0">
            <x v="1"/>
          </reference>
        </references>
      </pivotArea>
    </chartFormat>
    <chartFormat chart="3" format="268">
      <pivotArea type="data" outline="0" fieldPosition="0">
        <references count="3">
          <reference field="4294967294" count="1" selected="0">
            <x v="0"/>
          </reference>
          <reference field="2" count="1" selected="0">
            <x v="11"/>
          </reference>
          <reference field="8" count="1" selected="0">
            <x v="2"/>
          </reference>
        </references>
      </pivotArea>
    </chartFormat>
    <chartFormat chart="3" format="269">
      <pivotArea type="data" outline="0" fieldPosition="0">
        <references count="3">
          <reference field="4294967294" count="1" selected="0">
            <x v="0"/>
          </reference>
          <reference field="2" count="1" selected="0">
            <x v="11"/>
          </reference>
          <reference field="8" count="1" selected="0">
            <x v="3"/>
          </reference>
        </references>
      </pivotArea>
    </chartFormat>
    <chartFormat chart="3" format="270">
      <pivotArea type="data" outline="0" fieldPosition="0">
        <references count="3">
          <reference field="4294967294" count="1" selected="0">
            <x v="0"/>
          </reference>
          <reference field="2" count="1" selected="0">
            <x v="11"/>
          </reference>
          <reference field="8" count="1" selected="0">
            <x v="4"/>
          </reference>
        </references>
      </pivotArea>
    </chartFormat>
    <chartFormat chart="3" format="271">
      <pivotArea type="data" outline="0" fieldPosition="0">
        <references count="3">
          <reference field="4294967294" count="1" selected="0">
            <x v="0"/>
          </reference>
          <reference field="2" count="1" selected="0">
            <x v="11"/>
          </reference>
          <reference field="8" count="1" selected="0">
            <x v="5"/>
          </reference>
        </references>
      </pivotArea>
    </chartFormat>
    <chartFormat chart="3" format="272">
      <pivotArea type="data" outline="0" fieldPosition="0">
        <references count="3">
          <reference field="4294967294" count="1" selected="0">
            <x v="0"/>
          </reference>
          <reference field="2" count="1" selected="0">
            <x v="11"/>
          </reference>
          <reference field="8" count="1" selected="0">
            <x v="6"/>
          </reference>
        </references>
      </pivotArea>
    </chartFormat>
    <chartFormat chart="3" format="273">
      <pivotArea type="data" outline="0" fieldPosition="0">
        <references count="3">
          <reference field="4294967294" count="1" selected="0">
            <x v="0"/>
          </reference>
          <reference field="2" count="1" selected="0">
            <x v="11"/>
          </reference>
          <reference field="8" count="1" selected="0">
            <x v="7"/>
          </reference>
        </references>
      </pivotArea>
    </chartFormat>
    <chartFormat chart="3" format="274">
      <pivotArea type="data" outline="0" fieldPosition="0">
        <references count="3">
          <reference field="4294967294" count="1" selected="0">
            <x v="0"/>
          </reference>
          <reference field="2" count="1" selected="0">
            <x v="11"/>
          </reference>
          <reference field="8" count="1" selected="0">
            <x v="8"/>
          </reference>
        </references>
      </pivotArea>
    </chartFormat>
    <chartFormat chart="3" format="275">
      <pivotArea type="data" outline="0" fieldPosition="0">
        <references count="3">
          <reference field="4294967294" count="1" selected="0">
            <x v="0"/>
          </reference>
          <reference field="2" count="1" selected="0">
            <x v="11"/>
          </reference>
          <reference field="8" count="1" selected="0">
            <x v="9"/>
          </reference>
        </references>
      </pivotArea>
    </chartFormat>
    <chartFormat chart="4" format="144" series="1">
      <pivotArea type="data" outline="0" fieldPosition="0">
        <references count="2">
          <reference field="4294967294" count="1" selected="0">
            <x v="0"/>
          </reference>
          <reference field="2" count="1" selected="0">
            <x v="0"/>
          </reference>
        </references>
      </pivotArea>
    </chartFormat>
    <chartFormat chart="4" format="145">
      <pivotArea type="data" outline="0" fieldPosition="0">
        <references count="3">
          <reference field="4294967294" count="1" selected="0">
            <x v="0"/>
          </reference>
          <reference field="2" count="1" selected="0">
            <x v="0"/>
          </reference>
          <reference field="8" count="1" selected="0">
            <x v="0"/>
          </reference>
        </references>
      </pivotArea>
    </chartFormat>
    <chartFormat chart="4" format="146">
      <pivotArea type="data" outline="0" fieldPosition="0">
        <references count="3">
          <reference field="4294967294" count="1" selected="0">
            <x v="0"/>
          </reference>
          <reference field="2" count="1" selected="0">
            <x v="0"/>
          </reference>
          <reference field="8" count="1" selected="0">
            <x v="1"/>
          </reference>
        </references>
      </pivotArea>
    </chartFormat>
    <chartFormat chart="4" format="147">
      <pivotArea type="data" outline="0" fieldPosition="0">
        <references count="3">
          <reference field="4294967294" count="1" selected="0">
            <x v="0"/>
          </reference>
          <reference field="2" count="1" selected="0">
            <x v="0"/>
          </reference>
          <reference field="8" count="1" selected="0">
            <x v="2"/>
          </reference>
        </references>
      </pivotArea>
    </chartFormat>
    <chartFormat chart="4" format="148">
      <pivotArea type="data" outline="0" fieldPosition="0">
        <references count="3">
          <reference field="4294967294" count="1" selected="0">
            <x v="0"/>
          </reference>
          <reference field="2" count="1" selected="0">
            <x v="0"/>
          </reference>
          <reference field="8" count="1" selected="0">
            <x v="3"/>
          </reference>
        </references>
      </pivotArea>
    </chartFormat>
    <chartFormat chart="4" format="149">
      <pivotArea type="data" outline="0" fieldPosition="0">
        <references count="3">
          <reference field="4294967294" count="1" selected="0">
            <x v="0"/>
          </reference>
          <reference field="2" count="1" selected="0">
            <x v="0"/>
          </reference>
          <reference field="8" count="1" selected="0">
            <x v="4"/>
          </reference>
        </references>
      </pivotArea>
    </chartFormat>
    <chartFormat chart="4" format="150">
      <pivotArea type="data" outline="0" fieldPosition="0">
        <references count="3">
          <reference field="4294967294" count="1" selected="0">
            <x v="0"/>
          </reference>
          <reference field="2" count="1" selected="0">
            <x v="0"/>
          </reference>
          <reference field="8" count="1" selected="0">
            <x v="5"/>
          </reference>
        </references>
      </pivotArea>
    </chartFormat>
    <chartFormat chart="4" format="151">
      <pivotArea type="data" outline="0" fieldPosition="0">
        <references count="3">
          <reference field="4294967294" count="1" selected="0">
            <x v="0"/>
          </reference>
          <reference field="2" count="1" selected="0">
            <x v="0"/>
          </reference>
          <reference field="8" count="1" selected="0">
            <x v="6"/>
          </reference>
        </references>
      </pivotArea>
    </chartFormat>
    <chartFormat chart="4" format="152">
      <pivotArea type="data" outline="0" fieldPosition="0">
        <references count="3">
          <reference field="4294967294" count="1" selected="0">
            <x v="0"/>
          </reference>
          <reference field="2" count="1" selected="0">
            <x v="0"/>
          </reference>
          <reference field="8" count="1" selected="0">
            <x v="7"/>
          </reference>
        </references>
      </pivotArea>
    </chartFormat>
    <chartFormat chart="4" format="153">
      <pivotArea type="data" outline="0" fieldPosition="0">
        <references count="3">
          <reference field="4294967294" count="1" selected="0">
            <x v="0"/>
          </reference>
          <reference field="2" count="1" selected="0">
            <x v="0"/>
          </reference>
          <reference field="8" count="1" selected="0">
            <x v="8"/>
          </reference>
        </references>
      </pivotArea>
    </chartFormat>
    <chartFormat chart="4" format="154">
      <pivotArea type="data" outline="0" fieldPosition="0">
        <references count="3">
          <reference field="4294967294" count="1" selected="0">
            <x v="0"/>
          </reference>
          <reference field="2" count="1" selected="0">
            <x v="0"/>
          </reference>
          <reference field="8" count="1" selected="0">
            <x v="9"/>
          </reference>
        </references>
      </pivotArea>
    </chartFormat>
    <chartFormat chart="4" format="155" series="1">
      <pivotArea type="data" outline="0" fieldPosition="0">
        <references count="2">
          <reference field="4294967294" count="1" selected="0">
            <x v="0"/>
          </reference>
          <reference field="2" count="1" selected="0">
            <x v="1"/>
          </reference>
        </references>
      </pivotArea>
    </chartFormat>
    <chartFormat chart="4" format="156">
      <pivotArea type="data" outline="0" fieldPosition="0">
        <references count="3">
          <reference field="4294967294" count="1" selected="0">
            <x v="0"/>
          </reference>
          <reference field="2" count="1" selected="0">
            <x v="1"/>
          </reference>
          <reference field="8" count="1" selected="0">
            <x v="0"/>
          </reference>
        </references>
      </pivotArea>
    </chartFormat>
    <chartFormat chart="4" format="157">
      <pivotArea type="data" outline="0" fieldPosition="0">
        <references count="3">
          <reference field="4294967294" count="1" selected="0">
            <x v="0"/>
          </reference>
          <reference field="2" count="1" selected="0">
            <x v="1"/>
          </reference>
          <reference field="8" count="1" selected="0">
            <x v="1"/>
          </reference>
        </references>
      </pivotArea>
    </chartFormat>
    <chartFormat chart="4" format="158">
      <pivotArea type="data" outline="0" fieldPosition="0">
        <references count="3">
          <reference field="4294967294" count="1" selected="0">
            <x v="0"/>
          </reference>
          <reference field="2" count="1" selected="0">
            <x v="1"/>
          </reference>
          <reference field="8" count="1" selected="0">
            <x v="2"/>
          </reference>
        </references>
      </pivotArea>
    </chartFormat>
    <chartFormat chart="4" format="159">
      <pivotArea type="data" outline="0" fieldPosition="0">
        <references count="3">
          <reference field="4294967294" count="1" selected="0">
            <x v="0"/>
          </reference>
          <reference field="2" count="1" selected="0">
            <x v="1"/>
          </reference>
          <reference field="8" count="1" selected="0">
            <x v="3"/>
          </reference>
        </references>
      </pivotArea>
    </chartFormat>
    <chartFormat chart="4" format="160">
      <pivotArea type="data" outline="0" fieldPosition="0">
        <references count="3">
          <reference field="4294967294" count="1" selected="0">
            <x v="0"/>
          </reference>
          <reference field="2" count="1" selected="0">
            <x v="1"/>
          </reference>
          <reference field="8" count="1" selected="0">
            <x v="4"/>
          </reference>
        </references>
      </pivotArea>
    </chartFormat>
    <chartFormat chart="4" format="161">
      <pivotArea type="data" outline="0" fieldPosition="0">
        <references count="3">
          <reference field="4294967294" count="1" selected="0">
            <x v="0"/>
          </reference>
          <reference field="2" count="1" selected="0">
            <x v="1"/>
          </reference>
          <reference field="8" count="1" selected="0">
            <x v="5"/>
          </reference>
        </references>
      </pivotArea>
    </chartFormat>
    <chartFormat chart="4" format="162">
      <pivotArea type="data" outline="0" fieldPosition="0">
        <references count="3">
          <reference field="4294967294" count="1" selected="0">
            <x v="0"/>
          </reference>
          <reference field="2" count="1" selected="0">
            <x v="1"/>
          </reference>
          <reference field="8" count="1" selected="0">
            <x v="6"/>
          </reference>
        </references>
      </pivotArea>
    </chartFormat>
    <chartFormat chart="4" format="163">
      <pivotArea type="data" outline="0" fieldPosition="0">
        <references count="3">
          <reference field="4294967294" count="1" selected="0">
            <x v="0"/>
          </reference>
          <reference field="2" count="1" selected="0">
            <x v="1"/>
          </reference>
          <reference field="8" count="1" selected="0">
            <x v="7"/>
          </reference>
        </references>
      </pivotArea>
    </chartFormat>
    <chartFormat chart="4" format="164">
      <pivotArea type="data" outline="0" fieldPosition="0">
        <references count="3">
          <reference field="4294967294" count="1" selected="0">
            <x v="0"/>
          </reference>
          <reference field="2" count="1" selected="0">
            <x v="1"/>
          </reference>
          <reference field="8" count="1" selected="0">
            <x v="8"/>
          </reference>
        </references>
      </pivotArea>
    </chartFormat>
    <chartFormat chart="4" format="165">
      <pivotArea type="data" outline="0" fieldPosition="0">
        <references count="3">
          <reference field="4294967294" count="1" selected="0">
            <x v="0"/>
          </reference>
          <reference field="2" count="1" selected="0">
            <x v="1"/>
          </reference>
          <reference field="8" count="1" selected="0">
            <x v="9"/>
          </reference>
        </references>
      </pivotArea>
    </chartFormat>
    <chartFormat chart="4" format="166" series="1">
      <pivotArea type="data" outline="0" fieldPosition="0">
        <references count="2">
          <reference field="4294967294" count="1" selected="0">
            <x v="0"/>
          </reference>
          <reference field="2" count="1" selected="0">
            <x v="2"/>
          </reference>
        </references>
      </pivotArea>
    </chartFormat>
    <chartFormat chart="4" format="167">
      <pivotArea type="data" outline="0" fieldPosition="0">
        <references count="3">
          <reference field="4294967294" count="1" selected="0">
            <x v="0"/>
          </reference>
          <reference field="2" count="1" selected="0">
            <x v="2"/>
          </reference>
          <reference field="8" count="1" selected="0">
            <x v="0"/>
          </reference>
        </references>
      </pivotArea>
    </chartFormat>
    <chartFormat chart="4" format="168">
      <pivotArea type="data" outline="0" fieldPosition="0">
        <references count="3">
          <reference field="4294967294" count="1" selected="0">
            <x v="0"/>
          </reference>
          <reference field="2" count="1" selected="0">
            <x v="2"/>
          </reference>
          <reference field="8" count="1" selected="0">
            <x v="1"/>
          </reference>
        </references>
      </pivotArea>
    </chartFormat>
    <chartFormat chart="4" format="169">
      <pivotArea type="data" outline="0" fieldPosition="0">
        <references count="3">
          <reference field="4294967294" count="1" selected="0">
            <x v="0"/>
          </reference>
          <reference field="2" count="1" selected="0">
            <x v="2"/>
          </reference>
          <reference field="8" count="1" selected="0">
            <x v="2"/>
          </reference>
        </references>
      </pivotArea>
    </chartFormat>
    <chartFormat chart="4" format="170">
      <pivotArea type="data" outline="0" fieldPosition="0">
        <references count="3">
          <reference field="4294967294" count="1" selected="0">
            <x v="0"/>
          </reference>
          <reference field="2" count="1" selected="0">
            <x v="2"/>
          </reference>
          <reference field="8" count="1" selected="0">
            <x v="3"/>
          </reference>
        </references>
      </pivotArea>
    </chartFormat>
    <chartFormat chart="4" format="171">
      <pivotArea type="data" outline="0" fieldPosition="0">
        <references count="3">
          <reference field="4294967294" count="1" selected="0">
            <x v="0"/>
          </reference>
          <reference field="2" count="1" selected="0">
            <x v="2"/>
          </reference>
          <reference field="8" count="1" selected="0">
            <x v="4"/>
          </reference>
        </references>
      </pivotArea>
    </chartFormat>
    <chartFormat chart="4" format="172">
      <pivotArea type="data" outline="0" fieldPosition="0">
        <references count="3">
          <reference field="4294967294" count="1" selected="0">
            <x v="0"/>
          </reference>
          <reference field="2" count="1" selected="0">
            <x v="2"/>
          </reference>
          <reference field="8" count="1" selected="0">
            <x v="5"/>
          </reference>
        </references>
      </pivotArea>
    </chartFormat>
    <chartFormat chart="4" format="173">
      <pivotArea type="data" outline="0" fieldPosition="0">
        <references count="3">
          <reference field="4294967294" count="1" selected="0">
            <x v="0"/>
          </reference>
          <reference field="2" count="1" selected="0">
            <x v="2"/>
          </reference>
          <reference field="8" count="1" selected="0">
            <x v="6"/>
          </reference>
        </references>
      </pivotArea>
    </chartFormat>
    <chartFormat chart="4" format="174">
      <pivotArea type="data" outline="0" fieldPosition="0">
        <references count="3">
          <reference field="4294967294" count="1" selected="0">
            <x v="0"/>
          </reference>
          <reference field="2" count="1" selected="0">
            <x v="2"/>
          </reference>
          <reference field="8" count="1" selected="0">
            <x v="7"/>
          </reference>
        </references>
      </pivotArea>
    </chartFormat>
    <chartFormat chart="4" format="175">
      <pivotArea type="data" outline="0" fieldPosition="0">
        <references count="3">
          <reference field="4294967294" count="1" selected="0">
            <x v="0"/>
          </reference>
          <reference field="2" count="1" selected="0">
            <x v="2"/>
          </reference>
          <reference field="8" count="1" selected="0">
            <x v="8"/>
          </reference>
        </references>
      </pivotArea>
    </chartFormat>
    <chartFormat chart="4" format="176">
      <pivotArea type="data" outline="0" fieldPosition="0">
        <references count="3">
          <reference field="4294967294" count="1" selected="0">
            <x v="0"/>
          </reference>
          <reference field="2" count="1" selected="0">
            <x v="2"/>
          </reference>
          <reference field="8" count="1" selected="0">
            <x v="9"/>
          </reference>
        </references>
      </pivotArea>
    </chartFormat>
    <chartFormat chart="4" format="177" series="1">
      <pivotArea type="data" outline="0" fieldPosition="0">
        <references count="2">
          <reference field="4294967294" count="1" selected="0">
            <x v="0"/>
          </reference>
          <reference field="2" count="1" selected="0">
            <x v="3"/>
          </reference>
        </references>
      </pivotArea>
    </chartFormat>
    <chartFormat chart="4" format="178">
      <pivotArea type="data" outline="0" fieldPosition="0">
        <references count="3">
          <reference field="4294967294" count="1" selected="0">
            <x v="0"/>
          </reference>
          <reference field="2" count="1" selected="0">
            <x v="3"/>
          </reference>
          <reference field="8" count="1" selected="0">
            <x v="0"/>
          </reference>
        </references>
      </pivotArea>
    </chartFormat>
    <chartFormat chart="4" format="179">
      <pivotArea type="data" outline="0" fieldPosition="0">
        <references count="3">
          <reference field="4294967294" count="1" selected="0">
            <x v="0"/>
          </reference>
          <reference field="2" count="1" selected="0">
            <x v="3"/>
          </reference>
          <reference field="8" count="1" selected="0">
            <x v="1"/>
          </reference>
        </references>
      </pivotArea>
    </chartFormat>
    <chartFormat chart="4" format="180">
      <pivotArea type="data" outline="0" fieldPosition="0">
        <references count="3">
          <reference field="4294967294" count="1" selected="0">
            <x v="0"/>
          </reference>
          <reference field="2" count="1" selected="0">
            <x v="3"/>
          </reference>
          <reference field="8" count="1" selected="0">
            <x v="2"/>
          </reference>
        </references>
      </pivotArea>
    </chartFormat>
    <chartFormat chart="4" format="181">
      <pivotArea type="data" outline="0" fieldPosition="0">
        <references count="3">
          <reference field="4294967294" count="1" selected="0">
            <x v="0"/>
          </reference>
          <reference field="2" count="1" selected="0">
            <x v="3"/>
          </reference>
          <reference field="8" count="1" selected="0">
            <x v="3"/>
          </reference>
        </references>
      </pivotArea>
    </chartFormat>
    <chartFormat chart="4" format="182">
      <pivotArea type="data" outline="0" fieldPosition="0">
        <references count="3">
          <reference field="4294967294" count="1" selected="0">
            <x v="0"/>
          </reference>
          <reference field="2" count="1" selected="0">
            <x v="3"/>
          </reference>
          <reference field="8" count="1" selected="0">
            <x v="4"/>
          </reference>
        </references>
      </pivotArea>
    </chartFormat>
    <chartFormat chart="4" format="183">
      <pivotArea type="data" outline="0" fieldPosition="0">
        <references count="3">
          <reference field="4294967294" count="1" selected="0">
            <x v="0"/>
          </reference>
          <reference field="2" count="1" selected="0">
            <x v="3"/>
          </reference>
          <reference field="8" count="1" selected="0">
            <x v="5"/>
          </reference>
        </references>
      </pivotArea>
    </chartFormat>
    <chartFormat chart="4" format="184">
      <pivotArea type="data" outline="0" fieldPosition="0">
        <references count="3">
          <reference field="4294967294" count="1" selected="0">
            <x v="0"/>
          </reference>
          <reference field="2" count="1" selected="0">
            <x v="3"/>
          </reference>
          <reference field="8" count="1" selected="0">
            <x v="6"/>
          </reference>
        </references>
      </pivotArea>
    </chartFormat>
    <chartFormat chart="4" format="185">
      <pivotArea type="data" outline="0" fieldPosition="0">
        <references count="3">
          <reference field="4294967294" count="1" selected="0">
            <x v="0"/>
          </reference>
          <reference field="2" count="1" selected="0">
            <x v="3"/>
          </reference>
          <reference field="8" count="1" selected="0">
            <x v="7"/>
          </reference>
        </references>
      </pivotArea>
    </chartFormat>
    <chartFormat chart="4" format="186">
      <pivotArea type="data" outline="0" fieldPosition="0">
        <references count="3">
          <reference field="4294967294" count="1" selected="0">
            <x v="0"/>
          </reference>
          <reference field="2" count="1" selected="0">
            <x v="3"/>
          </reference>
          <reference field="8" count="1" selected="0">
            <x v="8"/>
          </reference>
        </references>
      </pivotArea>
    </chartFormat>
    <chartFormat chart="4" format="187">
      <pivotArea type="data" outline="0" fieldPosition="0">
        <references count="3">
          <reference field="4294967294" count="1" selected="0">
            <x v="0"/>
          </reference>
          <reference field="2" count="1" selected="0">
            <x v="3"/>
          </reference>
          <reference field="8" count="1" selected="0">
            <x v="9"/>
          </reference>
        </references>
      </pivotArea>
    </chartFormat>
    <chartFormat chart="4" format="188" series="1">
      <pivotArea type="data" outline="0" fieldPosition="0">
        <references count="2">
          <reference field="4294967294" count="1" selected="0">
            <x v="0"/>
          </reference>
          <reference field="2" count="1" selected="0">
            <x v="4"/>
          </reference>
        </references>
      </pivotArea>
    </chartFormat>
    <chartFormat chart="4" format="189">
      <pivotArea type="data" outline="0" fieldPosition="0">
        <references count="3">
          <reference field="4294967294" count="1" selected="0">
            <x v="0"/>
          </reference>
          <reference field="2" count="1" selected="0">
            <x v="4"/>
          </reference>
          <reference field="8" count="1" selected="0">
            <x v="0"/>
          </reference>
        </references>
      </pivotArea>
    </chartFormat>
    <chartFormat chart="4" format="190">
      <pivotArea type="data" outline="0" fieldPosition="0">
        <references count="3">
          <reference field="4294967294" count="1" selected="0">
            <x v="0"/>
          </reference>
          <reference field="2" count="1" selected="0">
            <x v="4"/>
          </reference>
          <reference field="8" count="1" selected="0">
            <x v="1"/>
          </reference>
        </references>
      </pivotArea>
    </chartFormat>
    <chartFormat chart="4" format="191">
      <pivotArea type="data" outline="0" fieldPosition="0">
        <references count="3">
          <reference field="4294967294" count="1" selected="0">
            <x v="0"/>
          </reference>
          <reference field="2" count="1" selected="0">
            <x v="4"/>
          </reference>
          <reference field="8" count="1" selected="0">
            <x v="2"/>
          </reference>
        </references>
      </pivotArea>
    </chartFormat>
    <chartFormat chart="4" format="192">
      <pivotArea type="data" outline="0" fieldPosition="0">
        <references count="3">
          <reference field="4294967294" count="1" selected="0">
            <x v="0"/>
          </reference>
          <reference field="2" count="1" selected="0">
            <x v="4"/>
          </reference>
          <reference field="8" count="1" selected="0">
            <x v="3"/>
          </reference>
        </references>
      </pivotArea>
    </chartFormat>
    <chartFormat chart="4" format="193">
      <pivotArea type="data" outline="0" fieldPosition="0">
        <references count="3">
          <reference field="4294967294" count="1" selected="0">
            <x v="0"/>
          </reference>
          <reference field="2" count="1" selected="0">
            <x v="4"/>
          </reference>
          <reference field="8" count="1" selected="0">
            <x v="4"/>
          </reference>
        </references>
      </pivotArea>
    </chartFormat>
    <chartFormat chart="4" format="194">
      <pivotArea type="data" outline="0" fieldPosition="0">
        <references count="3">
          <reference field="4294967294" count="1" selected="0">
            <x v="0"/>
          </reference>
          <reference field="2" count="1" selected="0">
            <x v="4"/>
          </reference>
          <reference field="8" count="1" selected="0">
            <x v="5"/>
          </reference>
        </references>
      </pivotArea>
    </chartFormat>
    <chartFormat chart="4" format="195">
      <pivotArea type="data" outline="0" fieldPosition="0">
        <references count="3">
          <reference field="4294967294" count="1" selected="0">
            <x v="0"/>
          </reference>
          <reference field="2" count="1" selected="0">
            <x v="4"/>
          </reference>
          <reference field="8" count="1" selected="0">
            <x v="6"/>
          </reference>
        </references>
      </pivotArea>
    </chartFormat>
    <chartFormat chart="4" format="196">
      <pivotArea type="data" outline="0" fieldPosition="0">
        <references count="3">
          <reference field="4294967294" count="1" selected="0">
            <x v="0"/>
          </reference>
          <reference field="2" count="1" selected="0">
            <x v="4"/>
          </reference>
          <reference field="8" count="1" selected="0">
            <x v="7"/>
          </reference>
        </references>
      </pivotArea>
    </chartFormat>
    <chartFormat chart="4" format="197">
      <pivotArea type="data" outline="0" fieldPosition="0">
        <references count="3">
          <reference field="4294967294" count="1" selected="0">
            <x v="0"/>
          </reference>
          <reference field="2" count="1" selected="0">
            <x v="4"/>
          </reference>
          <reference field="8" count="1" selected="0">
            <x v="8"/>
          </reference>
        </references>
      </pivotArea>
    </chartFormat>
    <chartFormat chart="4" format="198">
      <pivotArea type="data" outline="0" fieldPosition="0">
        <references count="3">
          <reference field="4294967294" count="1" selected="0">
            <x v="0"/>
          </reference>
          <reference field="2" count="1" selected="0">
            <x v="4"/>
          </reference>
          <reference field="8" count="1" selected="0">
            <x v="9"/>
          </reference>
        </references>
      </pivotArea>
    </chartFormat>
    <chartFormat chart="4" format="199" series="1">
      <pivotArea type="data" outline="0" fieldPosition="0">
        <references count="2">
          <reference field="4294967294" count="1" selected="0">
            <x v="0"/>
          </reference>
          <reference field="2" count="1" selected="0">
            <x v="5"/>
          </reference>
        </references>
      </pivotArea>
    </chartFormat>
    <chartFormat chart="4" format="200">
      <pivotArea type="data" outline="0" fieldPosition="0">
        <references count="3">
          <reference field="4294967294" count="1" selected="0">
            <x v="0"/>
          </reference>
          <reference field="2" count="1" selected="0">
            <x v="5"/>
          </reference>
          <reference field="8" count="1" selected="0">
            <x v="0"/>
          </reference>
        </references>
      </pivotArea>
    </chartFormat>
    <chartFormat chart="4" format="201">
      <pivotArea type="data" outline="0" fieldPosition="0">
        <references count="3">
          <reference field="4294967294" count="1" selected="0">
            <x v="0"/>
          </reference>
          <reference field="2" count="1" selected="0">
            <x v="5"/>
          </reference>
          <reference field="8" count="1" selected="0">
            <x v="1"/>
          </reference>
        </references>
      </pivotArea>
    </chartFormat>
    <chartFormat chart="4" format="202">
      <pivotArea type="data" outline="0" fieldPosition="0">
        <references count="3">
          <reference field="4294967294" count="1" selected="0">
            <x v="0"/>
          </reference>
          <reference field="2" count="1" selected="0">
            <x v="5"/>
          </reference>
          <reference field="8" count="1" selected="0">
            <x v="2"/>
          </reference>
        </references>
      </pivotArea>
    </chartFormat>
    <chartFormat chart="4" format="203">
      <pivotArea type="data" outline="0" fieldPosition="0">
        <references count="3">
          <reference field="4294967294" count="1" selected="0">
            <x v="0"/>
          </reference>
          <reference field="2" count="1" selected="0">
            <x v="5"/>
          </reference>
          <reference field="8" count="1" selected="0">
            <x v="3"/>
          </reference>
        </references>
      </pivotArea>
    </chartFormat>
    <chartFormat chart="4" format="204">
      <pivotArea type="data" outline="0" fieldPosition="0">
        <references count="3">
          <reference field="4294967294" count="1" selected="0">
            <x v="0"/>
          </reference>
          <reference field="2" count="1" selected="0">
            <x v="5"/>
          </reference>
          <reference field="8" count="1" selected="0">
            <x v="4"/>
          </reference>
        </references>
      </pivotArea>
    </chartFormat>
    <chartFormat chart="4" format="205">
      <pivotArea type="data" outline="0" fieldPosition="0">
        <references count="3">
          <reference field="4294967294" count="1" selected="0">
            <x v="0"/>
          </reference>
          <reference field="2" count="1" selected="0">
            <x v="5"/>
          </reference>
          <reference field="8" count="1" selected="0">
            <x v="5"/>
          </reference>
        </references>
      </pivotArea>
    </chartFormat>
    <chartFormat chart="4" format="206">
      <pivotArea type="data" outline="0" fieldPosition="0">
        <references count="3">
          <reference field="4294967294" count="1" selected="0">
            <x v="0"/>
          </reference>
          <reference field="2" count="1" selected="0">
            <x v="5"/>
          </reference>
          <reference field="8" count="1" selected="0">
            <x v="6"/>
          </reference>
        </references>
      </pivotArea>
    </chartFormat>
    <chartFormat chart="4" format="207">
      <pivotArea type="data" outline="0" fieldPosition="0">
        <references count="3">
          <reference field="4294967294" count="1" selected="0">
            <x v="0"/>
          </reference>
          <reference field="2" count="1" selected="0">
            <x v="5"/>
          </reference>
          <reference field="8" count="1" selected="0">
            <x v="7"/>
          </reference>
        </references>
      </pivotArea>
    </chartFormat>
    <chartFormat chart="4" format="208">
      <pivotArea type="data" outline="0" fieldPosition="0">
        <references count="3">
          <reference field="4294967294" count="1" selected="0">
            <x v="0"/>
          </reference>
          <reference field="2" count="1" selected="0">
            <x v="5"/>
          </reference>
          <reference field="8" count="1" selected="0">
            <x v="8"/>
          </reference>
        </references>
      </pivotArea>
    </chartFormat>
    <chartFormat chart="4" format="209">
      <pivotArea type="data" outline="0" fieldPosition="0">
        <references count="3">
          <reference field="4294967294" count="1" selected="0">
            <x v="0"/>
          </reference>
          <reference field="2" count="1" selected="0">
            <x v="5"/>
          </reference>
          <reference field="8" count="1" selected="0">
            <x v="9"/>
          </reference>
        </references>
      </pivotArea>
    </chartFormat>
    <chartFormat chart="4" format="210" series="1">
      <pivotArea type="data" outline="0" fieldPosition="0">
        <references count="2">
          <reference field="4294967294" count="1" selected="0">
            <x v="0"/>
          </reference>
          <reference field="2" count="1" selected="0">
            <x v="6"/>
          </reference>
        </references>
      </pivotArea>
    </chartFormat>
    <chartFormat chart="4" format="211">
      <pivotArea type="data" outline="0" fieldPosition="0">
        <references count="3">
          <reference field="4294967294" count="1" selected="0">
            <x v="0"/>
          </reference>
          <reference field="2" count="1" selected="0">
            <x v="6"/>
          </reference>
          <reference field="8" count="1" selected="0">
            <x v="0"/>
          </reference>
        </references>
      </pivotArea>
    </chartFormat>
    <chartFormat chart="4" format="212">
      <pivotArea type="data" outline="0" fieldPosition="0">
        <references count="3">
          <reference field="4294967294" count="1" selected="0">
            <x v="0"/>
          </reference>
          <reference field="2" count="1" selected="0">
            <x v="6"/>
          </reference>
          <reference field="8" count="1" selected="0">
            <x v="1"/>
          </reference>
        </references>
      </pivotArea>
    </chartFormat>
    <chartFormat chart="4" format="213">
      <pivotArea type="data" outline="0" fieldPosition="0">
        <references count="3">
          <reference field="4294967294" count="1" selected="0">
            <x v="0"/>
          </reference>
          <reference field="2" count="1" selected="0">
            <x v="6"/>
          </reference>
          <reference field="8" count="1" selected="0">
            <x v="2"/>
          </reference>
        </references>
      </pivotArea>
    </chartFormat>
    <chartFormat chart="4" format="214">
      <pivotArea type="data" outline="0" fieldPosition="0">
        <references count="3">
          <reference field="4294967294" count="1" selected="0">
            <x v="0"/>
          </reference>
          <reference field="2" count="1" selected="0">
            <x v="6"/>
          </reference>
          <reference field="8" count="1" selected="0">
            <x v="3"/>
          </reference>
        </references>
      </pivotArea>
    </chartFormat>
    <chartFormat chart="4" format="215">
      <pivotArea type="data" outline="0" fieldPosition="0">
        <references count="3">
          <reference field="4294967294" count="1" selected="0">
            <x v="0"/>
          </reference>
          <reference field="2" count="1" selected="0">
            <x v="6"/>
          </reference>
          <reference field="8" count="1" selected="0">
            <x v="4"/>
          </reference>
        </references>
      </pivotArea>
    </chartFormat>
    <chartFormat chart="4" format="216">
      <pivotArea type="data" outline="0" fieldPosition="0">
        <references count="3">
          <reference field="4294967294" count="1" selected="0">
            <x v="0"/>
          </reference>
          <reference field="2" count="1" selected="0">
            <x v="6"/>
          </reference>
          <reference field="8" count="1" selected="0">
            <x v="5"/>
          </reference>
        </references>
      </pivotArea>
    </chartFormat>
    <chartFormat chart="4" format="217">
      <pivotArea type="data" outline="0" fieldPosition="0">
        <references count="3">
          <reference field="4294967294" count="1" selected="0">
            <x v="0"/>
          </reference>
          <reference field="2" count="1" selected="0">
            <x v="6"/>
          </reference>
          <reference field="8" count="1" selected="0">
            <x v="6"/>
          </reference>
        </references>
      </pivotArea>
    </chartFormat>
    <chartFormat chart="4" format="218">
      <pivotArea type="data" outline="0" fieldPosition="0">
        <references count="3">
          <reference field="4294967294" count="1" selected="0">
            <x v="0"/>
          </reference>
          <reference field="2" count="1" selected="0">
            <x v="6"/>
          </reference>
          <reference field="8" count="1" selected="0">
            <x v="7"/>
          </reference>
        </references>
      </pivotArea>
    </chartFormat>
    <chartFormat chart="4" format="219">
      <pivotArea type="data" outline="0" fieldPosition="0">
        <references count="3">
          <reference field="4294967294" count="1" selected="0">
            <x v="0"/>
          </reference>
          <reference field="2" count="1" selected="0">
            <x v="6"/>
          </reference>
          <reference field="8" count="1" selected="0">
            <x v="8"/>
          </reference>
        </references>
      </pivotArea>
    </chartFormat>
    <chartFormat chart="4" format="220">
      <pivotArea type="data" outline="0" fieldPosition="0">
        <references count="3">
          <reference field="4294967294" count="1" selected="0">
            <x v="0"/>
          </reference>
          <reference field="2" count="1" selected="0">
            <x v="6"/>
          </reference>
          <reference field="8" count="1" selected="0">
            <x v="9"/>
          </reference>
        </references>
      </pivotArea>
    </chartFormat>
    <chartFormat chart="4" format="221" series="1">
      <pivotArea type="data" outline="0" fieldPosition="0">
        <references count="2">
          <reference field="4294967294" count="1" selected="0">
            <x v="0"/>
          </reference>
          <reference field="2" count="1" selected="0">
            <x v="7"/>
          </reference>
        </references>
      </pivotArea>
    </chartFormat>
    <chartFormat chart="4" format="222">
      <pivotArea type="data" outline="0" fieldPosition="0">
        <references count="3">
          <reference field="4294967294" count="1" selected="0">
            <x v="0"/>
          </reference>
          <reference field="2" count="1" selected="0">
            <x v="7"/>
          </reference>
          <reference field="8" count="1" selected="0">
            <x v="0"/>
          </reference>
        </references>
      </pivotArea>
    </chartFormat>
    <chartFormat chart="4" format="223">
      <pivotArea type="data" outline="0" fieldPosition="0">
        <references count="3">
          <reference field="4294967294" count="1" selected="0">
            <x v="0"/>
          </reference>
          <reference field="2" count="1" selected="0">
            <x v="7"/>
          </reference>
          <reference field="8" count="1" selected="0">
            <x v="1"/>
          </reference>
        </references>
      </pivotArea>
    </chartFormat>
    <chartFormat chart="4" format="224">
      <pivotArea type="data" outline="0" fieldPosition="0">
        <references count="3">
          <reference field="4294967294" count="1" selected="0">
            <x v="0"/>
          </reference>
          <reference field="2" count="1" selected="0">
            <x v="7"/>
          </reference>
          <reference field="8" count="1" selected="0">
            <x v="2"/>
          </reference>
        </references>
      </pivotArea>
    </chartFormat>
    <chartFormat chart="4" format="225">
      <pivotArea type="data" outline="0" fieldPosition="0">
        <references count="3">
          <reference field="4294967294" count="1" selected="0">
            <x v="0"/>
          </reference>
          <reference field="2" count="1" selected="0">
            <x v="7"/>
          </reference>
          <reference field="8" count="1" selected="0">
            <x v="3"/>
          </reference>
        </references>
      </pivotArea>
    </chartFormat>
    <chartFormat chart="4" format="226">
      <pivotArea type="data" outline="0" fieldPosition="0">
        <references count="3">
          <reference field="4294967294" count="1" selected="0">
            <x v="0"/>
          </reference>
          <reference field="2" count="1" selected="0">
            <x v="7"/>
          </reference>
          <reference field="8" count="1" selected="0">
            <x v="4"/>
          </reference>
        </references>
      </pivotArea>
    </chartFormat>
    <chartFormat chart="4" format="227">
      <pivotArea type="data" outline="0" fieldPosition="0">
        <references count="3">
          <reference field="4294967294" count="1" selected="0">
            <x v="0"/>
          </reference>
          <reference field="2" count="1" selected="0">
            <x v="7"/>
          </reference>
          <reference field="8" count="1" selected="0">
            <x v="5"/>
          </reference>
        </references>
      </pivotArea>
    </chartFormat>
    <chartFormat chart="4" format="228">
      <pivotArea type="data" outline="0" fieldPosition="0">
        <references count="3">
          <reference field="4294967294" count="1" selected="0">
            <x v="0"/>
          </reference>
          <reference field="2" count="1" selected="0">
            <x v="7"/>
          </reference>
          <reference field="8" count="1" selected="0">
            <x v="6"/>
          </reference>
        </references>
      </pivotArea>
    </chartFormat>
    <chartFormat chart="4" format="229">
      <pivotArea type="data" outline="0" fieldPosition="0">
        <references count="3">
          <reference field="4294967294" count="1" selected="0">
            <x v="0"/>
          </reference>
          <reference field="2" count="1" selected="0">
            <x v="7"/>
          </reference>
          <reference field="8" count="1" selected="0">
            <x v="7"/>
          </reference>
        </references>
      </pivotArea>
    </chartFormat>
    <chartFormat chart="4" format="230">
      <pivotArea type="data" outline="0" fieldPosition="0">
        <references count="3">
          <reference field="4294967294" count="1" selected="0">
            <x v="0"/>
          </reference>
          <reference field="2" count="1" selected="0">
            <x v="7"/>
          </reference>
          <reference field="8" count="1" selected="0">
            <x v="8"/>
          </reference>
        </references>
      </pivotArea>
    </chartFormat>
    <chartFormat chart="4" format="231">
      <pivotArea type="data" outline="0" fieldPosition="0">
        <references count="3">
          <reference field="4294967294" count="1" selected="0">
            <x v="0"/>
          </reference>
          <reference field="2" count="1" selected="0">
            <x v="7"/>
          </reference>
          <reference field="8" count="1" selected="0">
            <x v="9"/>
          </reference>
        </references>
      </pivotArea>
    </chartFormat>
    <chartFormat chart="4" format="232" series="1">
      <pivotArea type="data" outline="0" fieldPosition="0">
        <references count="2">
          <reference field="4294967294" count="1" selected="0">
            <x v="0"/>
          </reference>
          <reference field="2" count="1" selected="0">
            <x v="8"/>
          </reference>
        </references>
      </pivotArea>
    </chartFormat>
    <chartFormat chart="4" format="233">
      <pivotArea type="data" outline="0" fieldPosition="0">
        <references count="3">
          <reference field="4294967294" count="1" selected="0">
            <x v="0"/>
          </reference>
          <reference field="2" count="1" selected="0">
            <x v="8"/>
          </reference>
          <reference field="8" count="1" selected="0">
            <x v="0"/>
          </reference>
        </references>
      </pivotArea>
    </chartFormat>
    <chartFormat chart="4" format="234">
      <pivotArea type="data" outline="0" fieldPosition="0">
        <references count="3">
          <reference field="4294967294" count="1" selected="0">
            <x v="0"/>
          </reference>
          <reference field="2" count="1" selected="0">
            <x v="8"/>
          </reference>
          <reference field="8" count="1" selected="0">
            <x v="1"/>
          </reference>
        </references>
      </pivotArea>
    </chartFormat>
    <chartFormat chart="4" format="235">
      <pivotArea type="data" outline="0" fieldPosition="0">
        <references count="3">
          <reference field="4294967294" count="1" selected="0">
            <x v="0"/>
          </reference>
          <reference field="2" count="1" selected="0">
            <x v="8"/>
          </reference>
          <reference field="8" count="1" selected="0">
            <x v="2"/>
          </reference>
        </references>
      </pivotArea>
    </chartFormat>
    <chartFormat chart="4" format="236">
      <pivotArea type="data" outline="0" fieldPosition="0">
        <references count="3">
          <reference field="4294967294" count="1" selected="0">
            <x v="0"/>
          </reference>
          <reference field="2" count="1" selected="0">
            <x v="8"/>
          </reference>
          <reference field="8" count="1" selected="0">
            <x v="3"/>
          </reference>
        </references>
      </pivotArea>
    </chartFormat>
    <chartFormat chart="4" format="237">
      <pivotArea type="data" outline="0" fieldPosition="0">
        <references count="3">
          <reference field="4294967294" count="1" selected="0">
            <x v="0"/>
          </reference>
          <reference field="2" count="1" selected="0">
            <x v="8"/>
          </reference>
          <reference field="8" count="1" selected="0">
            <x v="4"/>
          </reference>
        </references>
      </pivotArea>
    </chartFormat>
    <chartFormat chart="4" format="238">
      <pivotArea type="data" outline="0" fieldPosition="0">
        <references count="3">
          <reference field="4294967294" count="1" selected="0">
            <x v="0"/>
          </reference>
          <reference field="2" count="1" selected="0">
            <x v="8"/>
          </reference>
          <reference field="8" count="1" selected="0">
            <x v="5"/>
          </reference>
        </references>
      </pivotArea>
    </chartFormat>
    <chartFormat chart="4" format="239">
      <pivotArea type="data" outline="0" fieldPosition="0">
        <references count="3">
          <reference field="4294967294" count="1" selected="0">
            <x v="0"/>
          </reference>
          <reference field="2" count="1" selected="0">
            <x v="8"/>
          </reference>
          <reference field="8" count="1" selected="0">
            <x v="6"/>
          </reference>
        </references>
      </pivotArea>
    </chartFormat>
    <chartFormat chart="4" format="240">
      <pivotArea type="data" outline="0" fieldPosition="0">
        <references count="3">
          <reference field="4294967294" count="1" selected="0">
            <x v="0"/>
          </reference>
          <reference field="2" count="1" selected="0">
            <x v="8"/>
          </reference>
          <reference field="8" count="1" selected="0">
            <x v="7"/>
          </reference>
        </references>
      </pivotArea>
    </chartFormat>
    <chartFormat chart="4" format="241">
      <pivotArea type="data" outline="0" fieldPosition="0">
        <references count="3">
          <reference field="4294967294" count="1" selected="0">
            <x v="0"/>
          </reference>
          <reference field="2" count="1" selected="0">
            <x v="8"/>
          </reference>
          <reference field="8" count="1" selected="0">
            <x v="8"/>
          </reference>
        </references>
      </pivotArea>
    </chartFormat>
    <chartFormat chart="4" format="242">
      <pivotArea type="data" outline="0" fieldPosition="0">
        <references count="3">
          <reference field="4294967294" count="1" selected="0">
            <x v="0"/>
          </reference>
          <reference field="2" count="1" selected="0">
            <x v="8"/>
          </reference>
          <reference field="8" count="1" selected="0">
            <x v="9"/>
          </reference>
        </references>
      </pivotArea>
    </chartFormat>
    <chartFormat chart="4" format="243" series="1">
      <pivotArea type="data" outline="0" fieldPosition="0">
        <references count="2">
          <reference field="4294967294" count="1" selected="0">
            <x v="0"/>
          </reference>
          <reference field="2" count="1" selected="0">
            <x v="9"/>
          </reference>
        </references>
      </pivotArea>
    </chartFormat>
    <chartFormat chart="4" format="244">
      <pivotArea type="data" outline="0" fieldPosition="0">
        <references count="3">
          <reference field="4294967294" count="1" selected="0">
            <x v="0"/>
          </reference>
          <reference field="2" count="1" selected="0">
            <x v="9"/>
          </reference>
          <reference field="8" count="1" selected="0">
            <x v="0"/>
          </reference>
        </references>
      </pivotArea>
    </chartFormat>
    <chartFormat chart="4" format="245">
      <pivotArea type="data" outline="0" fieldPosition="0">
        <references count="3">
          <reference field="4294967294" count="1" selected="0">
            <x v="0"/>
          </reference>
          <reference field="2" count="1" selected="0">
            <x v="9"/>
          </reference>
          <reference field="8" count="1" selected="0">
            <x v="1"/>
          </reference>
        </references>
      </pivotArea>
    </chartFormat>
    <chartFormat chart="4" format="246">
      <pivotArea type="data" outline="0" fieldPosition="0">
        <references count="3">
          <reference field="4294967294" count="1" selected="0">
            <x v="0"/>
          </reference>
          <reference field="2" count="1" selected="0">
            <x v="9"/>
          </reference>
          <reference field="8" count="1" selected="0">
            <x v="2"/>
          </reference>
        </references>
      </pivotArea>
    </chartFormat>
    <chartFormat chart="4" format="247">
      <pivotArea type="data" outline="0" fieldPosition="0">
        <references count="3">
          <reference field="4294967294" count="1" selected="0">
            <x v="0"/>
          </reference>
          <reference field="2" count="1" selected="0">
            <x v="9"/>
          </reference>
          <reference field="8" count="1" selected="0">
            <x v="3"/>
          </reference>
        </references>
      </pivotArea>
    </chartFormat>
    <chartFormat chart="4" format="248">
      <pivotArea type="data" outline="0" fieldPosition="0">
        <references count="3">
          <reference field="4294967294" count="1" selected="0">
            <x v="0"/>
          </reference>
          <reference field="2" count="1" selected="0">
            <x v="9"/>
          </reference>
          <reference field="8" count="1" selected="0">
            <x v="4"/>
          </reference>
        </references>
      </pivotArea>
    </chartFormat>
    <chartFormat chart="4" format="249">
      <pivotArea type="data" outline="0" fieldPosition="0">
        <references count="3">
          <reference field="4294967294" count="1" selected="0">
            <x v="0"/>
          </reference>
          <reference field="2" count="1" selected="0">
            <x v="9"/>
          </reference>
          <reference field="8" count="1" selected="0">
            <x v="5"/>
          </reference>
        </references>
      </pivotArea>
    </chartFormat>
    <chartFormat chart="4" format="250">
      <pivotArea type="data" outline="0" fieldPosition="0">
        <references count="3">
          <reference field="4294967294" count="1" selected="0">
            <x v="0"/>
          </reference>
          <reference field="2" count="1" selected="0">
            <x v="9"/>
          </reference>
          <reference field="8" count="1" selected="0">
            <x v="6"/>
          </reference>
        </references>
      </pivotArea>
    </chartFormat>
    <chartFormat chart="4" format="251">
      <pivotArea type="data" outline="0" fieldPosition="0">
        <references count="3">
          <reference field="4294967294" count="1" selected="0">
            <x v="0"/>
          </reference>
          <reference field="2" count="1" selected="0">
            <x v="9"/>
          </reference>
          <reference field="8" count="1" selected="0">
            <x v="7"/>
          </reference>
        </references>
      </pivotArea>
    </chartFormat>
    <chartFormat chart="4" format="252">
      <pivotArea type="data" outline="0" fieldPosition="0">
        <references count="3">
          <reference field="4294967294" count="1" selected="0">
            <x v="0"/>
          </reference>
          <reference field="2" count="1" selected="0">
            <x v="9"/>
          </reference>
          <reference field="8" count="1" selected="0">
            <x v="8"/>
          </reference>
        </references>
      </pivotArea>
    </chartFormat>
    <chartFormat chart="4" format="253">
      <pivotArea type="data" outline="0" fieldPosition="0">
        <references count="3">
          <reference field="4294967294" count="1" selected="0">
            <x v="0"/>
          </reference>
          <reference field="2" count="1" selected="0">
            <x v="9"/>
          </reference>
          <reference field="8" count="1" selected="0">
            <x v="9"/>
          </reference>
        </references>
      </pivotArea>
    </chartFormat>
    <chartFormat chart="4" format="254" series="1">
      <pivotArea type="data" outline="0" fieldPosition="0">
        <references count="2">
          <reference field="4294967294" count="1" selected="0">
            <x v="0"/>
          </reference>
          <reference field="2" count="1" selected="0">
            <x v="10"/>
          </reference>
        </references>
      </pivotArea>
    </chartFormat>
    <chartFormat chart="4" format="255">
      <pivotArea type="data" outline="0" fieldPosition="0">
        <references count="3">
          <reference field="4294967294" count="1" selected="0">
            <x v="0"/>
          </reference>
          <reference field="2" count="1" selected="0">
            <x v="10"/>
          </reference>
          <reference field="8" count="1" selected="0">
            <x v="0"/>
          </reference>
        </references>
      </pivotArea>
    </chartFormat>
    <chartFormat chart="4" format="256">
      <pivotArea type="data" outline="0" fieldPosition="0">
        <references count="3">
          <reference field="4294967294" count="1" selected="0">
            <x v="0"/>
          </reference>
          <reference field="2" count="1" selected="0">
            <x v="10"/>
          </reference>
          <reference field="8" count="1" selected="0">
            <x v="1"/>
          </reference>
        </references>
      </pivotArea>
    </chartFormat>
    <chartFormat chart="4" format="257">
      <pivotArea type="data" outline="0" fieldPosition="0">
        <references count="3">
          <reference field="4294967294" count="1" selected="0">
            <x v="0"/>
          </reference>
          <reference field="2" count="1" selected="0">
            <x v="10"/>
          </reference>
          <reference field="8" count="1" selected="0">
            <x v="2"/>
          </reference>
        </references>
      </pivotArea>
    </chartFormat>
    <chartFormat chart="4" format="258">
      <pivotArea type="data" outline="0" fieldPosition="0">
        <references count="3">
          <reference field="4294967294" count="1" selected="0">
            <x v="0"/>
          </reference>
          <reference field="2" count="1" selected="0">
            <x v="10"/>
          </reference>
          <reference field="8" count="1" selected="0">
            <x v="3"/>
          </reference>
        </references>
      </pivotArea>
    </chartFormat>
    <chartFormat chart="4" format="259">
      <pivotArea type="data" outline="0" fieldPosition="0">
        <references count="3">
          <reference field="4294967294" count="1" selected="0">
            <x v="0"/>
          </reference>
          <reference field="2" count="1" selected="0">
            <x v="10"/>
          </reference>
          <reference field="8" count="1" selected="0">
            <x v="4"/>
          </reference>
        </references>
      </pivotArea>
    </chartFormat>
    <chartFormat chart="4" format="260">
      <pivotArea type="data" outline="0" fieldPosition="0">
        <references count="3">
          <reference field="4294967294" count="1" selected="0">
            <x v="0"/>
          </reference>
          <reference field="2" count="1" selected="0">
            <x v="10"/>
          </reference>
          <reference field="8" count="1" selected="0">
            <x v="5"/>
          </reference>
        </references>
      </pivotArea>
    </chartFormat>
    <chartFormat chart="4" format="261">
      <pivotArea type="data" outline="0" fieldPosition="0">
        <references count="3">
          <reference field="4294967294" count="1" selected="0">
            <x v="0"/>
          </reference>
          <reference field="2" count="1" selected="0">
            <x v="10"/>
          </reference>
          <reference field="8" count="1" selected="0">
            <x v="6"/>
          </reference>
        </references>
      </pivotArea>
    </chartFormat>
    <chartFormat chart="4" format="262">
      <pivotArea type="data" outline="0" fieldPosition="0">
        <references count="3">
          <reference field="4294967294" count="1" selected="0">
            <x v="0"/>
          </reference>
          <reference field="2" count="1" selected="0">
            <x v="10"/>
          </reference>
          <reference field="8" count="1" selected="0">
            <x v="7"/>
          </reference>
        </references>
      </pivotArea>
    </chartFormat>
    <chartFormat chart="4" format="263">
      <pivotArea type="data" outline="0" fieldPosition="0">
        <references count="3">
          <reference field="4294967294" count="1" selected="0">
            <x v="0"/>
          </reference>
          <reference field="2" count="1" selected="0">
            <x v="10"/>
          </reference>
          <reference field="8" count="1" selected="0">
            <x v="8"/>
          </reference>
        </references>
      </pivotArea>
    </chartFormat>
    <chartFormat chart="4" format="264">
      <pivotArea type="data" outline="0" fieldPosition="0">
        <references count="3">
          <reference field="4294967294" count="1" selected="0">
            <x v="0"/>
          </reference>
          <reference field="2" count="1" selected="0">
            <x v="10"/>
          </reference>
          <reference field="8" count="1" selected="0">
            <x v="9"/>
          </reference>
        </references>
      </pivotArea>
    </chartFormat>
    <chartFormat chart="4" format="265" series="1">
      <pivotArea type="data" outline="0" fieldPosition="0">
        <references count="2">
          <reference field="4294967294" count="1" selected="0">
            <x v="0"/>
          </reference>
          <reference field="2" count="1" selected="0">
            <x v="11"/>
          </reference>
        </references>
      </pivotArea>
    </chartFormat>
    <chartFormat chart="4" format="266">
      <pivotArea type="data" outline="0" fieldPosition="0">
        <references count="3">
          <reference field="4294967294" count="1" selected="0">
            <x v="0"/>
          </reference>
          <reference field="2" count="1" selected="0">
            <x v="11"/>
          </reference>
          <reference field="8" count="1" selected="0">
            <x v="0"/>
          </reference>
        </references>
      </pivotArea>
    </chartFormat>
    <chartFormat chart="4" format="267">
      <pivotArea type="data" outline="0" fieldPosition="0">
        <references count="3">
          <reference field="4294967294" count="1" selected="0">
            <x v="0"/>
          </reference>
          <reference field="2" count="1" selected="0">
            <x v="11"/>
          </reference>
          <reference field="8" count="1" selected="0">
            <x v="1"/>
          </reference>
        </references>
      </pivotArea>
    </chartFormat>
    <chartFormat chart="4" format="268">
      <pivotArea type="data" outline="0" fieldPosition="0">
        <references count="3">
          <reference field="4294967294" count="1" selected="0">
            <x v="0"/>
          </reference>
          <reference field="2" count="1" selected="0">
            <x v="11"/>
          </reference>
          <reference field="8" count="1" selected="0">
            <x v="2"/>
          </reference>
        </references>
      </pivotArea>
    </chartFormat>
    <chartFormat chart="4" format="269">
      <pivotArea type="data" outline="0" fieldPosition="0">
        <references count="3">
          <reference field="4294967294" count="1" selected="0">
            <x v="0"/>
          </reference>
          <reference field="2" count="1" selected="0">
            <x v="11"/>
          </reference>
          <reference field="8" count="1" selected="0">
            <x v="3"/>
          </reference>
        </references>
      </pivotArea>
    </chartFormat>
    <chartFormat chart="4" format="270">
      <pivotArea type="data" outline="0" fieldPosition="0">
        <references count="3">
          <reference field="4294967294" count="1" selected="0">
            <x v="0"/>
          </reference>
          <reference field="2" count="1" selected="0">
            <x v="11"/>
          </reference>
          <reference field="8" count="1" selected="0">
            <x v="4"/>
          </reference>
        </references>
      </pivotArea>
    </chartFormat>
    <chartFormat chart="4" format="271">
      <pivotArea type="data" outline="0" fieldPosition="0">
        <references count="3">
          <reference field="4294967294" count="1" selected="0">
            <x v="0"/>
          </reference>
          <reference field="2" count="1" selected="0">
            <x v="11"/>
          </reference>
          <reference field="8" count="1" selected="0">
            <x v="5"/>
          </reference>
        </references>
      </pivotArea>
    </chartFormat>
    <chartFormat chart="4" format="272">
      <pivotArea type="data" outline="0" fieldPosition="0">
        <references count="3">
          <reference field="4294967294" count="1" selected="0">
            <x v="0"/>
          </reference>
          <reference field="2" count="1" selected="0">
            <x v="11"/>
          </reference>
          <reference field="8" count="1" selected="0">
            <x v="6"/>
          </reference>
        </references>
      </pivotArea>
    </chartFormat>
    <chartFormat chart="4" format="273">
      <pivotArea type="data" outline="0" fieldPosition="0">
        <references count="3">
          <reference field="4294967294" count="1" selected="0">
            <x v="0"/>
          </reference>
          <reference field="2" count="1" selected="0">
            <x v="11"/>
          </reference>
          <reference field="8" count="1" selected="0">
            <x v="7"/>
          </reference>
        </references>
      </pivotArea>
    </chartFormat>
    <chartFormat chart="4" format="274">
      <pivotArea type="data" outline="0" fieldPosition="0">
        <references count="3">
          <reference field="4294967294" count="1" selected="0">
            <x v="0"/>
          </reference>
          <reference field="2" count="1" selected="0">
            <x v="11"/>
          </reference>
          <reference field="8" count="1" selected="0">
            <x v="8"/>
          </reference>
        </references>
      </pivotArea>
    </chartFormat>
    <chartFormat chart="4" format="275">
      <pivotArea type="data" outline="0" fieldPosition="0">
        <references count="3">
          <reference field="4294967294" count="1" selected="0">
            <x v="0"/>
          </reference>
          <reference field="2" count="1" selected="0">
            <x v="11"/>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3FB684-AFD8-4EE7-B583-1779178A3CB4}" name="KP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numFmtId="14" showAll="0"/>
    <pivotField showAll="0">
      <items count="7">
        <item x="0"/>
        <item x="1"/>
        <item x="2"/>
        <item x="3"/>
        <item x="4"/>
        <item x="5"/>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numFmtId="9" showAll="0"/>
  </pivotFields>
  <rowItems count="1">
    <i/>
  </rowItems>
  <colFields count="1">
    <field x="-2"/>
  </colFields>
  <colItems count="5">
    <i>
      <x/>
    </i>
    <i i="1">
      <x v="1"/>
    </i>
    <i i="2">
      <x v="2"/>
    </i>
    <i i="3">
      <x v="3"/>
    </i>
    <i i="4">
      <x v="4"/>
    </i>
  </colItems>
  <dataFields count="5">
    <dataField name="Sum of Income " fld="15" baseField="0" baseItem="0" numFmtId="3"/>
    <dataField name="Sum of Total Expenditure" fld="14" baseField="0" baseItem="2" numFmtId="3"/>
    <dataField name="Sum of Surplus" fld="16" baseField="0" baseItem="2" numFmtId="3"/>
    <dataField name="Average of Surplus Rate" fld="17" subtotal="average" baseField="0" baseItem="2" numFmtId="164"/>
    <dataField name="Average of Total Expenditure " fld="14" subtotal="average" baseField="0" baseItem="1" numFmtId="3"/>
  </dataFields>
  <formats count="3">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3" selected="0">
            <x v="0"/>
            <x v="1"/>
            <x v="2"/>
          </reference>
        </references>
      </pivotArea>
    </format>
    <format dxfId="3">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579AE-8779-40CC-9C7A-EB9923321E9A}" name="top10_expe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3:B66" firstHeaderRow="1" firstDataRow="1" firstDataCol="1"/>
  <pivotFields count="18">
    <pivotField numFmtId="14" showAll="0"/>
    <pivotField showAll="0">
      <items count="7">
        <item x="0"/>
        <item x="1"/>
        <item x="2"/>
        <item x="3"/>
        <item x="4"/>
        <item x="5"/>
        <item t="default"/>
      </items>
    </pivotField>
    <pivotField axis="axisRow" numFmtId="14"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9" showAll="0"/>
  </pivotFields>
  <rowFields count="1">
    <field x="2"/>
  </rowFields>
  <rowItems count="13">
    <i>
      <x v="6"/>
    </i>
    <i>
      <x v="8"/>
    </i>
    <i>
      <x v="7"/>
    </i>
    <i>
      <x/>
    </i>
    <i>
      <x v="2"/>
    </i>
    <i>
      <x v="1"/>
    </i>
    <i>
      <x v="3"/>
    </i>
    <i>
      <x v="5"/>
    </i>
    <i>
      <x v="4"/>
    </i>
    <i>
      <x v="11"/>
    </i>
    <i>
      <x v="9"/>
    </i>
    <i>
      <x v="10"/>
    </i>
    <i t="grand">
      <x/>
    </i>
  </rowItems>
  <colItems count="1">
    <i/>
  </colItems>
  <dataFields count="1">
    <dataField name="Sum of Total Expenditure " fld="14" baseField="0" baseItem="0" numFmtId="3"/>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9F9BC5-5FD8-4DAD-9454-155950C3E7A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7:B74" firstHeaderRow="1" firstDataRow="1" firstDataCol="1"/>
  <pivotFields count="18">
    <pivotField numFmtId="14" showAll="0"/>
    <pivotField axis="axisRow"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s>
  <rowFields count="1">
    <field x="1"/>
  </rowFields>
  <rowItems count="7">
    <i>
      <x/>
    </i>
    <i>
      <x v="1"/>
    </i>
    <i>
      <x v="2"/>
    </i>
    <i>
      <x v="3"/>
    </i>
    <i>
      <x v="4"/>
    </i>
    <i>
      <x v="5"/>
    </i>
    <i t="grand">
      <x/>
    </i>
  </rowItems>
  <colItems count="1">
    <i/>
  </colItems>
  <dataFields count="1">
    <dataField name="Average of Surplus Rate" fld="17" subtotal="average" baseField="1" baseItem="5" numFmtId="164"/>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452701-7A69-4B13-961B-288DF5A5F2CB}" name="savings_investme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C50" firstHeaderRow="0" firstDataRow="1" firstDataCol="1"/>
  <pivotFields count="18">
    <pivotField numFmtId="14" showAll="0"/>
    <pivotField showAll="0">
      <items count="7">
        <item x="0"/>
        <item x="1"/>
        <item x="2"/>
        <item x="3"/>
        <item x="4"/>
        <item x="5"/>
        <item t="default"/>
      </items>
    </pivotField>
    <pivotField axis="axisRow" numFmtId="1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numFmtId="9"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vings " fld="13" baseField="0" baseItem="0"/>
    <dataField name="Sum of Investments " fld="9" baseField="0" baseItem="0"/>
  </dataFields>
  <formats count="1">
    <format dxfId="8">
      <pivotArea dataOnly="0"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1681D3-BEDA-47A5-972F-6BAE1C4AB179}"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Month" tableColumnId="3"/>
      <queryTableField id="4" name="Savings " tableColumnId="4"/>
      <queryTableField id="5" name="Total Expenditure " tableColumnId="5"/>
      <queryTableField id="6" name="Income " tableColumnId="6"/>
      <queryTableField id="7" name="Surplus" tableColumnId="7"/>
      <queryTableField id="8" name="Surplus Rate" tableColumnId="8"/>
      <queryTableField id="9" name="Category" tableColumnId="9"/>
      <queryTableField id="10" name="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F994EB-DFE2-4B70-85B3-6F729D60891D}" sourceName="Year">
  <pivotTables>
    <pivotTable tabId="2" name="KPIs"/>
    <pivotTable tabId="2" name="inc_vs_expen"/>
    <pivotTable tabId="2" name="PivotTable7"/>
    <pivotTable tabId="2" name="savings_investments"/>
    <pivotTable tabId="2" name="top10_expen"/>
  </pivotTables>
  <data>
    <tabular pivotCacheId="1084706676">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9315BC4-C5CE-4889-B4DD-7A152F9F1603}" sourceName="Month">
  <pivotTables>
    <pivotTable tabId="2" name="KPIs"/>
    <pivotTable tabId="2" name="inc_vs_expen"/>
    <pivotTable tabId="2" name="savings_investments"/>
    <pivotTable tabId="2" name="top10_expen"/>
  </pivotTables>
  <data>
    <tabular pivotCacheId="108470667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95DC37A-DC3D-49C1-BF94-B1393E1B5EEB}" sourceName="Year">
  <pivotTables>
    <pivotTable tabId="2" name="PivotTable4"/>
  </pivotTables>
  <data>
    <tabular pivotCacheId="514728988">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8B70A239-0E1B-4F08-AD3B-CB525B95E125}" sourceName="Month">
  <pivotTables>
    <pivotTable tabId="2" name="PivotTable4"/>
  </pivotTables>
  <data>
    <tabular pivotCacheId="51472898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40BF71-98CC-40A9-8250-49A71951F906}" cache="Slicer_Year" caption="Year" style="SlicerStyleLight6" rowHeight="234950"/>
  <slicer name="Month" xr10:uid="{0476174C-F6B9-4626-B75B-72D7177D9A14}" cache="Slicer_Month" caption="Month" style="SlicerStyleLight6" rowHeight="234950"/>
  <slicer name="Year 1" xr10:uid="{90C52A8E-AD7A-41D6-9BF5-25479FFB08C3}" cache="Slicer_Year1" caption="Year" style="SlicerStyleLight6" rowHeight="234950"/>
  <slicer name="Month 1" xr10:uid="{069B77B6-B21A-4D67-B072-F8E958BB845C}" cache="Slicer_Month1" caption="Month"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742D57-C99A-44CA-88C9-A0A763B0FABB}" name="Original_Data" displayName="Original_Data" ref="A1:R70" totalsRowShown="0">
  <autoFilter ref="A1:R70" xr:uid="{AD742D57-C99A-44CA-88C9-A0A763B0FABB}"/>
  <tableColumns count="18">
    <tableColumn id="1" xr3:uid="{EA138A61-EAB3-40D0-B699-AEE6AA21E2E4}" name="Date" dataDxfId="34"/>
    <tableColumn id="17" xr3:uid="{1A8B14EB-0393-4AF6-802B-B9FB6F358F24}" name="Year" dataDxfId="33">
      <calculatedColumnFormula>YEAR(Original_Data[[#This Row],[Date]])</calculatedColumnFormula>
    </tableColumn>
    <tableColumn id="18" xr3:uid="{E5DE8D82-003A-4044-9A73-3C4A2967720F}" name="Month" dataDxfId="32">
      <calculatedColumnFormula>TEXT(Original_Data[[#This Row],[Date]],"mmm")</calculatedColumnFormula>
    </tableColumn>
    <tableColumn id="2" xr3:uid="{2C781F58-2515-4321-92BC-3498EE2B6037}" name="Groceries " dataDxfId="31"/>
    <tableColumn id="3" xr3:uid="{969EEC0A-3260-4E0A-B30A-6A3BA78B01F9}" name="Rent " dataDxfId="30"/>
    <tableColumn id="4" xr3:uid="{4B68608C-F7CA-45A9-8D67-FF4F57189DB6}" name="Transportation " dataDxfId="29"/>
    <tableColumn id="5" xr3:uid="{FEB49ACB-B36C-41CD-8F21-C1A2C85B86F0}" name="Gym " dataDxfId="28"/>
    <tableColumn id="6" xr3:uid="{D9C86A6A-79B3-49B7-9745-1C11BDFFF1CF}" name="Utilities " dataDxfId="27"/>
    <tableColumn id="7" xr3:uid="{EC419745-F7C3-487F-AC75-393EA15049B7}" name="Healthcare " dataDxfId="26"/>
    <tableColumn id="8" xr3:uid="{FAA5A061-ECE1-4336-B0DF-2CF80B0D390B}" name="Investments " dataDxfId="25"/>
    <tableColumn id="10" xr3:uid="{B03902E0-1A96-49E3-B348-59479473A11C}" name="EMI/Loans " dataDxfId="24"/>
    <tableColumn id="11" xr3:uid="{A34302C2-596A-4921-A95D-61FA91552FD6}" name="Dining &amp; Entertainment " dataDxfId="23"/>
    <tableColumn id="12" xr3:uid="{E191F7D7-6D7B-4C4D-B3A3-ADB8F75F8A29}" name="Shopping &amp; Wants " dataDxfId="22"/>
    <tableColumn id="9" xr3:uid="{CC6D28CD-B0BE-4332-BB48-172F62A7AD5A}" name="Savings " dataDxfId="21"/>
    <tableColumn id="13" xr3:uid="{9AC5EBDA-3A71-4D7C-96FB-F2909EE640C7}" name="Total Expenditure " dataDxfId="20"/>
    <tableColumn id="14" xr3:uid="{A49D49C0-CB88-4A97-9744-D02A4B438564}" name="Income " dataDxfId="19"/>
    <tableColumn id="15" xr3:uid="{BEFACAD4-E280-4705-8ACC-DEFF4B2188EC}" name="Surplus" dataDxfId="18">
      <calculatedColumnFormula>Original_Data[[#This Row],[Income ]]-Original_Data[[#This Row],[Total Expenditure ]]</calculatedColumnFormula>
    </tableColumn>
    <tableColumn id="16" xr3:uid="{7F248CCC-1DE9-4479-9B68-430C64522456}" name="Surplus Rate" dataDxfId="17">
      <calculatedColumnFormula>Original_Data[[#This Row],[Surplus]]/Original_Data[[#This Row],[Income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4F247C-15C9-4F5F-AF74-8B725CF5B27B}" name="Transformed_Data\" displayName="Transformed_Data\" ref="A1:J691" tableType="queryTable" totalsRowShown="0">
  <autoFilter ref="A1:J691" xr:uid="{E74F247C-15C9-4F5F-AF74-8B725CF5B27B}"/>
  <tableColumns count="10">
    <tableColumn id="1" xr3:uid="{A1B54184-E06B-41B6-A879-4AB789274F7B}" uniqueName="1" name="Date" queryTableFieldId="1" dataDxfId="16"/>
    <tableColumn id="2" xr3:uid="{754F7E61-CD6F-47A0-8A9E-7F8843330404}" uniqueName="2" name="Year" queryTableFieldId="2"/>
    <tableColumn id="3" xr3:uid="{8AD6F0FC-8586-4A2D-ACB9-74802081127B}" uniqueName="3" name="Month" queryTableFieldId="3"/>
    <tableColumn id="4" xr3:uid="{AD78B702-2EB4-4A52-8758-519336549C49}" uniqueName="4" name="Savings " queryTableFieldId="4" dataDxfId="15"/>
    <tableColumn id="5" xr3:uid="{4C761985-62FA-4E8A-95E6-B3C190B202C8}" uniqueName="5" name="Total Expenditure " queryTableFieldId="5" dataDxfId="14"/>
    <tableColumn id="6" xr3:uid="{1047F150-265E-4A68-A7A8-26BB05E66C9E}" uniqueName="6" name="Income " queryTableFieldId="6" dataDxfId="13"/>
    <tableColumn id="7" xr3:uid="{93E32695-2C87-4533-B36D-86164612200A}" uniqueName="7" name="Surplus" queryTableFieldId="7" dataDxfId="12"/>
    <tableColumn id="8" xr3:uid="{853197D0-3E46-43CA-93BF-7754277A56DB}" uniqueName="8" name="Surplus Rate" queryTableFieldId="8" dataDxfId="11"/>
    <tableColumn id="9" xr3:uid="{8855A398-EFCE-43D1-AE0B-4879EE15623C}" uniqueName="9" name="Category" queryTableFieldId="9" dataDxfId="10"/>
    <tableColumn id="10" xr3:uid="{0B435407-7093-4EAE-A300-610B64818207}" uniqueName="10" name="Amount" queryTableFieldId="10"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5576BDD-8448-4815-8481-FFE87574C14A}">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7D34-0436-47ED-8914-144CBB75D861}">
  <dimension ref="A1:R70"/>
  <sheetViews>
    <sheetView zoomScale="92" workbookViewId="0">
      <selection activeCell="L7" sqref="L7"/>
    </sheetView>
  </sheetViews>
  <sheetFormatPr defaultRowHeight="14.4" x14ac:dyDescent="0.3"/>
  <cols>
    <col min="1" max="1" width="9.77734375" bestFit="1" customWidth="1"/>
    <col min="2" max="3" width="9.77734375" customWidth="1"/>
    <col min="4" max="4" width="10.5546875" style="8" customWidth="1"/>
    <col min="5" max="5" width="9" style="8" bestFit="1" customWidth="1"/>
    <col min="6" max="6" width="15.33203125" style="8" customWidth="1"/>
    <col min="7" max="7" width="9" style="8" bestFit="1" customWidth="1"/>
    <col min="8" max="8" width="9.109375" style="8" customWidth="1"/>
    <col min="9" max="9" width="11.88671875" style="8" customWidth="1"/>
    <col min="10" max="10" width="13" style="8" customWidth="1"/>
    <col min="11" max="11" width="12.77734375" style="8" bestFit="1" customWidth="1"/>
    <col min="12" max="12" width="23.77734375" style="8" bestFit="1" customWidth="1"/>
    <col min="13" max="13" width="23" style="8" customWidth="1"/>
    <col min="14" max="14" width="18.33203125" style="8" customWidth="1"/>
    <col min="15" max="15" width="17.77734375" style="8" customWidth="1"/>
    <col min="16" max="16" width="13.33203125" style="8" customWidth="1"/>
    <col min="17" max="17" width="8.88671875" style="8"/>
  </cols>
  <sheetData>
    <row r="1" spans="1:18" x14ac:dyDescent="0.3">
      <c r="A1" t="s">
        <v>37</v>
      </c>
      <c r="B1" t="s">
        <v>36</v>
      </c>
      <c r="C1" t="s">
        <v>0</v>
      </c>
      <c r="D1" s="8" t="s">
        <v>1</v>
      </c>
      <c r="E1" s="8" t="s">
        <v>2</v>
      </c>
      <c r="F1" s="8" t="s">
        <v>3</v>
      </c>
      <c r="G1" s="8" t="s">
        <v>4</v>
      </c>
      <c r="H1" s="8" t="s">
        <v>5</v>
      </c>
      <c r="I1" s="8" t="s">
        <v>6</v>
      </c>
      <c r="J1" s="8" t="s">
        <v>7</v>
      </c>
      <c r="K1" s="8" t="s">
        <v>9</v>
      </c>
      <c r="L1" s="8" t="s">
        <v>10</v>
      </c>
      <c r="M1" s="8" t="s">
        <v>11</v>
      </c>
      <c r="N1" s="8" t="s">
        <v>8</v>
      </c>
      <c r="O1" s="8" t="s">
        <v>12</v>
      </c>
      <c r="P1" s="8" t="s">
        <v>13</v>
      </c>
      <c r="Q1" s="8" t="s">
        <v>16</v>
      </c>
      <c r="R1" t="s">
        <v>17</v>
      </c>
    </row>
    <row r="2" spans="1:18" x14ac:dyDescent="0.3">
      <c r="A2" s="1">
        <v>43831</v>
      </c>
      <c r="B2">
        <f>YEAR(Original_Data[[#This Row],[Date]])</f>
        <v>2020</v>
      </c>
      <c r="C2" t="str">
        <f>TEXT(Original_Data[[#This Row],[Date]],"mmm")</f>
        <v>Jan</v>
      </c>
      <c r="D2" s="8">
        <v>4860</v>
      </c>
      <c r="E2" s="8">
        <v>10000</v>
      </c>
      <c r="F2" s="8">
        <v>2595</v>
      </c>
      <c r="G2" s="8">
        <v>888</v>
      </c>
      <c r="H2" s="8">
        <v>1520</v>
      </c>
      <c r="I2" s="8">
        <v>1930</v>
      </c>
      <c r="J2" s="8">
        <v>4311</v>
      </c>
      <c r="K2" s="8">
        <v>0</v>
      </c>
      <c r="L2" s="8">
        <v>3138</v>
      </c>
      <c r="M2" s="8">
        <v>1121</v>
      </c>
      <c r="N2" s="8">
        <v>4232</v>
      </c>
      <c r="O2" s="8">
        <v>30363</v>
      </c>
      <c r="P2" s="8">
        <v>40000</v>
      </c>
      <c r="Q2" s="8">
        <f>Original_Data[[#This Row],[Income ]]-Original_Data[[#This Row],[Total Expenditure ]]</f>
        <v>9637</v>
      </c>
      <c r="R2" s="2">
        <f>Original_Data[[#This Row],[Surplus]]/Original_Data[[#This Row],[Income ]]</f>
        <v>0.240925</v>
      </c>
    </row>
    <row r="3" spans="1:18" x14ac:dyDescent="0.3">
      <c r="A3" s="1">
        <v>43862</v>
      </c>
      <c r="B3">
        <f>YEAR(Original_Data[[#This Row],[Date]])</f>
        <v>2020</v>
      </c>
      <c r="C3" t="str">
        <f>TEXT(Original_Data[[#This Row],[Date]],"mmm")</f>
        <v>Feb</v>
      </c>
      <c r="D3" s="8">
        <v>6135</v>
      </c>
      <c r="E3" s="8">
        <v>10000</v>
      </c>
      <c r="F3" s="8">
        <v>2371</v>
      </c>
      <c r="G3" s="8">
        <v>851</v>
      </c>
      <c r="H3" s="8">
        <v>1630</v>
      </c>
      <c r="I3" s="8">
        <v>1923</v>
      </c>
      <c r="J3" s="8">
        <v>5939</v>
      </c>
      <c r="K3" s="8">
        <v>0</v>
      </c>
      <c r="L3" s="8">
        <v>3185</v>
      </c>
      <c r="M3" s="8">
        <v>2332</v>
      </c>
      <c r="N3" s="8">
        <v>7329</v>
      </c>
      <c r="O3" s="8">
        <v>34366</v>
      </c>
      <c r="P3" s="8">
        <v>40000</v>
      </c>
      <c r="Q3" s="8">
        <f>Original_Data[[#This Row],[Income ]]-Original_Data[[#This Row],[Total Expenditure ]]</f>
        <v>5634</v>
      </c>
      <c r="R3" s="2">
        <f>Original_Data[[#This Row],[Surplus]]/Original_Data[[#This Row],[Income ]]</f>
        <v>0.14085</v>
      </c>
    </row>
    <row r="4" spans="1:18" x14ac:dyDescent="0.3">
      <c r="A4" s="1">
        <v>43891</v>
      </c>
      <c r="B4">
        <f>YEAR(Original_Data[[#This Row],[Date]])</f>
        <v>2020</v>
      </c>
      <c r="C4" t="str">
        <f>TEXT(Original_Data[[#This Row],[Date]],"mmm")</f>
        <v>Mar</v>
      </c>
      <c r="D4" s="8">
        <v>6853</v>
      </c>
      <c r="E4" s="8">
        <v>10000</v>
      </c>
      <c r="F4" s="8">
        <v>2715</v>
      </c>
      <c r="G4" s="8">
        <v>1143</v>
      </c>
      <c r="H4" s="8">
        <v>1776</v>
      </c>
      <c r="I4" s="8">
        <v>1185</v>
      </c>
      <c r="J4" s="8">
        <v>4700</v>
      </c>
      <c r="K4" s="8">
        <v>0</v>
      </c>
      <c r="L4" s="8">
        <v>2684</v>
      </c>
      <c r="M4" s="8">
        <v>1459</v>
      </c>
      <c r="N4" s="8">
        <v>3625</v>
      </c>
      <c r="O4" s="8">
        <v>32515</v>
      </c>
      <c r="P4" s="8">
        <v>36000</v>
      </c>
      <c r="Q4" s="8">
        <f>Original_Data[[#This Row],[Income ]]-Original_Data[[#This Row],[Total Expenditure ]]</f>
        <v>3485</v>
      </c>
      <c r="R4" s="2">
        <f>Original_Data[[#This Row],[Surplus]]/Original_Data[[#This Row],[Income ]]</f>
        <v>9.6805555555555561E-2</v>
      </c>
    </row>
    <row r="5" spans="1:18" x14ac:dyDescent="0.3">
      <c r="A5" s="1">
        <v>43922</v>
      </c>
      <c r="B5">
        <f>YEAR(Original_Data[[#This Row],[Date]])</f>
        <v>2020</v>
      </c>
      <c r="C5" t="str">
        <f>TEXT(Original_Data[[#This Row],[Date]],"mmm")</f>
        <v>Apr</v>
      </c>
      <c r="D5" s="8">
        <v>6904</v>
      </c>
      <c r="E5" s="8">
        <v>10000</v>
      </c>
      <c r="F5" s="8">
        <v>2582</v>
      </c>
      <c r="G5" s="8">
        <v>869</v>
      </c>
      <c r="H5" s="8">
        <v>1975</v>
      </c>
      <c r="I5" s="8">
        <v>1274</v>
      </c>
      <c r="J5" s="8">
        <v>4420</v>
      </c>
      <c r="K5" s="8">
        <v>0</v>
      </c>
      <c r="L5" s="8">
        <v>2475</v>
      </c>
      <c r="M5" s="8">
        <v>2806</v>
      </c>
      <c r="N5" s="8">
        <v>6426</v>
      </c>
      <c r="O5" s="8">
        <v>33305</v>
      </c>
      <c r="P5" s="8">
        <v>36000</v>
      </c>
      <c r="Q5" s="8">
        <f>Original_Data[[#This Row],[Income ]]-Original_Data[[#This Row],[Total Expenditure ]]</f>
        <v>2695</v>
      </c>
      <c r="R5" s="2">
        <f>Original_Data[[#This Row],[Surplus]]/Original_Data[[#This Row],[Income ]]</f>
        <v>7.4861111111111114E-2</v>
      </c>
    </row>
    <row r="6" spans="1:18" x14ac:dyDescent="0.3">
      <c r="A6" s="1">
        <v>43952</v>
      </c>
      <c r="B6">
        <f>YEAR(Original_Data[[#This Row],[Date]])</f>
        <v>2020</v>
      </c>
      <c r="C6" t="str">
        <f>TEXT(Original_Data[[#This Row],[Date]],"mmm")</f>
        <v>May</v>
      </c>
      <c r="D6" s="8">
        <v>4562</v>
      </c>
      <c r="E6" s="8">
        <v>10000</v>
      </c>
      <c r="F6" s="8">
        <v>3028</v>
      </c>
      <c r="G6" s="8">
        <v>830</v>
      </c>
      <c r="H6" s="8">
        <v>1984</v>
      </c>
      <c r="I6" s="8">
        <v>1631</v>
      </c>
      <c r="J6" s="8">
        <v>4410</v>
      </c>
      <c r="K6" s="8">
        <v>0</v>
      </c>
      <c r="L6" s="8">
        <v>2146</v>
      </c>
      <c r="M6" s="8">
        <v>1020</v>
      </c>
      <c r="N6" s="8">
        <v>3647</v>
      </c>
      <c r="O6" s="8">
        <v>29611</v>
      </c>
      <c r="P6" s="8">
        <v>36000</v>
      </c>
      <c r="Q6" s="8">
        <f>Original_Data[[#This Row],[Income ]]-Original_Data[[#This Row],[Total Expenditure ]]</f>
        <v>6389</v>
      </c>
      <c r="R6" s="2">
        <f>Original_Data[[#This Row],[Surplus]]/Original_Data[[#This Row],[Income ]]</f>
        <v>0.17747222222222223</v>
      </c>
    </row>
    <row r="7" spans="1:18" x14ac:dyDescent="0.3">
      <c r="A7" s="1">
        <v>43983</v>
      </c>
      <c r="B7">
        <f>YEAR(Original_Data[[#This Row],[Date]])</f>
        <v>2020</v>
      </c>
      <c r="C7" t="str">
        <f>TEXT(Original_Data[[#This Row],[Date]],"mmm")</f>
        <v>Jun</v>
      </c>
      <c r="D7" s="8">
        <v>4600</v>
      </c>
      <c r="E7" s="8">
        <v>10000</v>
      </c>
      <c r="F7" s="8">
        <v>1513</v>
      </c>
      <c r="G7" s="8">
        <v>941</v>
      </c>
      <c r="H7" s="8">
        <v>2276</v>
      </c>
      <c r="I7" s="8">
        <v>1115</v>
      </c>
      <c r="J7" s="8">
        <v>4392</v>
      </c>
      <c r="K7" s="8">
        <v>0</v>
      </c>
      <c r="L7" s="8">
        <v>2863</v>
      </c>
      <c r="M7" s="8">
        <v>1091</v>
      </c>
      <c r="N7" s="8">
        <v>4039</v>
      </c>
      <c r="O7" s="8">
        <v>28791</v>
      </c>
      <c r="P7" s="8">
        <v>36000</v>
      </c>
      <c r="Q7" s="8">
        <f>Original_Data[[#This Row],[Income ]]-Original_Data[[#This Row],[Total Expenditure ]]</f>
        <v>7209</v>
      </c>
      <c r="R7" s="2">
        <f>Original_Data[[#This Row],[Surplus]]/Original_Data[[#This Row],[Income ]]</f>
        <v>0.20025000000000001</v>
      </c>
    </row>
    <row r="8" spans="1:18" x14ac:dyDescent="0.3">
      <c r="A8" s="1">
        <v>44013</v>
      </c>
      <c r="B8">
        <f>YEAR(Original_Data[[#This Row],[Date]])</f>
        <v>2020</v>
      </c>
      <c r="C8" t="str">
        <f>TEXT(Original_Data[[#This Row],[Date]],"mmm")</f>
        <v>Jul</v>
      </c>
      <c r="D8" s="8">
        <v>6556</v>
      </c>
      <c r="E8" s="8">
        <v>10000</v>
      </c>
      <c r="F8" s="8">
        <v>3466</v>
      </c>
      <c r="G8" s="8">
        <v>734</v>
      </c>
      <c r="H8" s="8">
        <v>1705</v>
      </c>
      <c r="I8" s="8">
        <v>1575</v>
      </c>
      <c r="J8" s="8">
        <v>4792</v>
      </c>
      <c r="K8" s="8">
        <v>0</v>
      </c>
      <c r="L8" s="8">
        <v>3455</v>
      </c>
      <c r="M8" s="8">
        <v>2585</v>
      </c>
      <c r="N8" s="8">
        <v>4722</v>
      </c>
      <c r="O8" s="8">
        <v>34868</v>
      </c>
      <c r="P8" s="8">
        <v>36000</v>
      </c>
      <c r="Q8" s="8">
        <f>Original_Data[[#This Row],[Income ]]-Original_Data[[#This Row],[Total Expenditure ]]</f>
        <v>1132</v>
      </c>
      <c r="R8" s="2">
        <f>Original_Data[[#This Row],[Surplus]]/Original_Data[[#This Row],[Income ]]</f>
        <v>3.1444444444444442E-2</v>
      </c>
    </row>
    <row r="9" spans="1:18" x14ac:dyDescent="0.3">
      <c r="A9" s="1">
        <v>44044</v>
      </c>
      <c r="B9">
        <f>YEAR(Original_Data[[#This Row],[Date]])</f>
        <v>2020</v>
      </c>
      <c r="C9" t="str">
        <f>TEXT(Original_Data[[#This Row],[Date]],"mmm")</f>
        <v>Aug</v>
      </c>
      <c r="D9" s="8">
        <v>6613</v>
      </c>
      <c r="E9" s="8">
        <v>10000</v>
      </c>
      <c r="F9" s="8">
        <v>3295</v>
      </c>
      <c r="G9" s="8">
        <v>1009</v>
      </c>
      <c r="H9" s="8">
        <v>1976</v>
      </c>
      <c r="I9" s="8">
        <v>1929</v>
      </c>
      <c r="J9" s="8">
        <v>4995</v>
      </c>
      <c r="K9" s="8">
        <v>0</v>
      </c>
      <c r="L9" s="8">
        <v>2202</v>
      </c>
      <c r="M9" s="8">
        <v>1401</v>
      </c>
      <c r="N9" s="8">
        <v>6982</v>
      </c>
      <c r="O9" s="8">
        <v>33420</v>
      </c>
      <c r="P9" s="8">
        <v>36000</v>
      </c>
      <c r="Q9" s="8">
        <f>Original_Data[[#This Row],[Income ]]-Original_Data[[#This Row],[Total Expenditure ]]</f>
        <v>2580</v>
      </c>
      <c r="R9" s="2">
        <f>Original_Data[[#This Row],[Surplus]]/Original_Data[[#This Row],[Income ]]</f>
        <v>7.166666666666667E-2</v>
      </c>
    </row>
    <row r="10" spans="1:18" x14ac:dyDescent="0.3">
      <c r="A10" s="1">
        <v>44075</v>
      </c>
      <c r="B10">
        <f>YEAR(Original_Data[[#This Row],[Date]])</f>
        <v>2020</v>
      </c>
      <c r="C10" t="str">
        <f>TEXT(Original_Data[[#This Row],[Date]],"mmm")</f>
        <v>Sep</v>
      </c>
      <c r="D10" s="8">
        <v>5981</v>
      </c>
      <c r="E10" s="8">
        <v>10000</v>
      </c>
      <c r="F10" s="8">
        <v>1769</v>
      </c>
      <c r="G10" s="8">
        <v>1050</v>
      </c>
      <c r="H10" s="8">
        <v>2315</v>
      </c>
      <c r="I10" s="8">
        <v>1795</v>
      </c>
      <c r="J10" s="8">
        <v>3952</v>
      </c>
      <c r="K10" s="8">
        <v>0</v>
      </c>
      <c r="L10" s="8">
        <v>1955</v>
      </c>
      <c r="M10" s="8">
        <v>2485</v>
      </c>
      <c r="N10" s="8">
        <v>3762</v>
      </c>
      <c r="O10" s="8">
        <v>31302</v>
      </c>
      <c r="P10" s="8">
        <v>36000</v>
      </c>
      <c r="Q10" s="8">
        <f>Original_Data[[#This Row],[Income ]]-Original_Data[[#This Row],[Total Expenditure ]]</f>
        <v>4698</v>
      </c>
      <c r="R10" s="2">
        <f>Original_Data[[#This Row],[Surplus]]/Original_Data[[#This Row],[Income ]]</f>
        <v>0.1305</v>
      </c>
    </row>
    <row r="11" spans="1:18" x14ac:dyDescent="0.3">
      <c r="A11" s="1">
        <v>44105</v>
      </c>
      <c r="B11">
        <f>YEAR(Original_Data[[#This Row],[Date]])</f>
        <v>2020</v>
      </c>
      <c r="C11" t="str">
        <f>TEXT(Original_Data[[#This Row],[Date]],"mmm")</f>
        <v>Oct</v>
      </c>
      <c r="D11" s="8">
        <v>6343</v>
      </c>
      <c r="E11" s="8">
        <v>10000</v>
      </c>
      <c r="F11" s="8">
        <v>3272</v>
      </c>
      <c r="G11" s="8">
        <v>1037</v>
      </c>
      <c r="H11" s="8">
        <v>2378</v>
      </c>
      <c r="I11" s="8">
        <v>1519</v>
      </c>
      <c r="J11" s="8">
        <v>4242</v>
      </c>
      <c r="K11" s="8">
        <v>0</v>
      </c>
      <c r="L11" s="8">
        <v>2576</v>
      </c>
      <c r="M11" s="8">
        <v>1791</v>
      </c>
      <c r="N11" s="8">
        <v>4611</v>
      </c>
      <c r="O11" s="8">
        <v>33158</v>
      </c>
      <c r="P11" s="8">
        <v>36000</v>
      </c>
      <c r="Q11" s="8">
        <f>Original_Data[[#This Row],[Income ]]-Original_Data[[#This Row],[Total Expenditure ]]</f>
        <v>2842</v>
      </c>
      <c r="R11" s="2">
        <f>Original_Data[[#This Row],[Surplus]]/Original_Data[[#This Row],[Income ]]</f>
        <v>7.8944444444444442E-2</v>
      </c>
    </row>
    <row r="12" spans="1:18" x14ac:dyDescent="0.3">
      <c r="A12" s="1">
        <v>44136</v>
      </c>
      <c r="B12">
        <f>YEAR(Original_Data[[#This Row],[Date]])</f>
        <v>2020</v>
      </c>
      <c r="C12" t="str">
        <f>TEXT(Original_Data[[#This Row],[Date]],"mmm")</f>
        <v>Nov</v>
      </c>
      <c r="D12" s="8">
        <v>4379</v>
      </c>
      <c r="E12" s="8">
        <v>10000</v>
      </c>
      <c r="F12" s="8">
        <v>2564</v>
      </c>
      <c r="G12" s="8">
        <v>856</v>
      </c>
      <c r="H12" s="8">
        <v>1514</v>
      </c>
      <c r="I12" s="8">
        <v>1292</v>
      </c>
      <c r="J12" s="8">
        <v>5376</v>
      </c>
      <c r="K12" s="8">
        <v>0</v>
      </c>
      <c r="L12" s="8">
        <v>1564</v>
      </c>
      <c r="M12" s="8">
        <v>2880</v>
      </c>
      <c r="N12" s="8">
        <v>6380</v>
      </c>
      <c r="O12" s="8">
        <v>30425</v>
      </c>
      <c r="P12" s="8">
        <v>36000</v>
      </c>
      <c r="Q12" s="8">
        <f>Original_Data[[#This Row],[Income ]]-Original_Data[[#This Row],[Total Expenditure ]]</f>
        <v>5575</v>
      </c>
      <c r="R12" s="2">
        <f>Original_Data[[#This Row],[Surplus]]/Original_Data[[#This Row],[Income ]]</f>
        <v>0.15486111111111112</v>
      </c>
    </row>
    <row r="13" spans="1:18" x14ac:dyDescent="0.3">
      <c r="A13" s="1">
        <v>44166</v>
      </c>
      <c r="B13">
        <f>YEAR(Original_Data[[#This Row],[Date]])</f>
        <v>2020</v>
      </c>
      <c r="C13" t="str">
        <f>TEXT(Original_Data[[#This Row],[Date]],"mmm")</f>
        <v>Dec</v>
      </c>
      <c r="D13" s="8">
        <v>6027</v>
      </c>
      <c r="E13" s="8">
        <v>10000</v>
      </c>
      <c r="F13" s="8">
        <v>2995</v>
      </c>
      <c r="G13" s="8">
        <v>762</v>
      </c>
      <c r="H13" s="8">
        <v>1638</v>
      </c>
      <c r="I13" s="8">
        <v>1447</v>
      </c>
      <c r="J13" s="8">
        <v>4880</v>
      </c>
      <c r="K13" s="8">
        <v>0</v>
      </c>
      <c r="L13" s="8">
        <v>3022</v>
      </c>
      <c r="M13" s="8">
        <v>1592</v>
      </c>
      <c r="N13" s="8">
        <v>6444</v>
      </c>
      <c r="O13" s="8">
        <v>32363</v>
      </c>
      <c r="P13" s="8">
        <v>36000</v>
      </c>
      <c r="Q13" s="8">
        <f>Original_Data[[#This Row],[Income ]]-Original_Data[[#This Row],[Total Expenditure ]]</f>
        <v>3637</v>
      </c>
      <c r="R13" s="2">
        <f>Original_Data[[#This Row],[Surplus]]/Original_Data[[#This Row],[Income ]]</f>
        <v>0.10102777777777777</v>
      </c>
    </row>
    <row r="14" spans="1:18" x14ac:dyDescent="0.3">
      <c r="A14" s="1">
        <v>44197</v>
      </c>
      <c r="B14">
        <f>YEAR(Original_Data[[#This Row],[Date]])</f>
        <v>2021</v>
      </c>
      <c r="C14" t="str">
        <f>TEXT(Original_Data[[#This Row],[Date]],"mmm")</f>
        <v>Jan</v>
      </c>
      <c r="D14" s="8">
        <v>4378</v>
      </c>
      <c r="E14" s="8">
        <v>10000</v>
      </c>
      <c r="F14" s="8">
        <v>2517</v>
      </c>
      <c r="G14" s="8">
        <v>740</v>
      </c>
      <c r="H14" s="8">
        <v>1527</v>
      </c>
      <c r="I14" s="8">
        <v>1030</v>
      </c>
      <c r="J14" s="8">
        <v>4721</v>
      </c>
      <c r="K14" s="8">
        <v>0</v>
      </c>
      <c r="L14" s="8">
        <v>3682</v>
      </c>
      <c r="M14" s="8">
        <v>1200</v>
      </c>
      <c r="N14" s="8">
        <v>4791</v>
      </c>
      <c r="O14" s="8">
        <v>29795</v>
      </c>
      <c r="P14" s="8">
        <v>36000</v>
      </c>
      <c r="Q14" s="8">
        <f>Original_Data[[#This Row],[Income ]]-Original_Data[[#This Row],[Total Expenditure ]]</f>
        <v>6205</v>
      </c>
      <c r="R14" s="2">
        <f>Original_Data[[#This Row],[Surplus]]/Original_Data[[#This Row],[Income ]]</f>
        <v>0.1723611111111111</v>
      </c>
    </row>
    <row r="15" spans="1:18" x14ac:dyDescent="0.3">
      <c r="A15" s="1">
        <v>44228</v>
      </c>
      <c r="B15">
        <f>YEAR(Original_Data[[#This Row],[Date]])</f>
        <v>2021</v>
      </c>
      <c r="C15" t="str">
        <f>TEXT(Original_Data[[#This Row],[Date]],"mmm")</f>
        <v>Feb</v>
      </c>
      <c r="D15" s="8">
        <v>4502</v>
      </c>
      <c r="E15" s="8">
        <v>10000</v>
      </c>
      <c r="F15" s="8">
        <v>3097</v>
      </c>
      <c r="G15" s="8">
        <v>915</v>
      </c>
      <c r="H15" s="8">
        <v>2304</v>
      </c>
      <c r="I15" s="8">
        <v>1206</v>
      </c>
      <c r="J15" s="8">
        <v>4747</v>
      </c>
      <c r="K15" s="8">
        <v>0</v>
      </c>
      <c r="L15" s="8">
        <v>3646</v>
      </c>
      <c r="M15" s="8">
        <v>1683</v>
      </c>
      <c r="N15" s="8">
        <v>6793</v>
      </c>
      <c r="O15" s="8">
        <v>32100</v>
      </c>
      <c r="P15" s="8">
        <v>36000</v>
      </c>
      <c r="Q15" s="8">
        <f>Original_Data[[#This Row],[Income ]]-Original_Data[[#This Row],[Total Expenditure ]]</f>
        <v>3900</v>
      </c>
      <c r="R15" s="2">
        <f>Original_Data[[#This Row],[Surplus]]/Original_Data[[#This Row],[Income ]]</f>
        <v>0.10833333333333334</v>
      </c>
    </row>
    <row r="16" spans="1:18" x14ac:dyDescent="0.3">
      <c r="A16" s="1">
        <v>44256</v>
      </c>
      <c r="B16">
        <f>YEAR(Original_Data[[#This Row],[Date]])</f>
        <v>2021</v>
      </c>
      <c r="C16" t="str">
        <f>TEXT(Original_Data[[#This Row],[Date]],"mmm")</f>
        <v>Mar</v>
      </c>
      <c r="D16" s="8">
        <v>4960</v>
      </c>
      <c r="E16" s="8">
        <v>10000</v>
      </c>
      <c r="F16" s="8">
        <v>3466</v>
      </c>
      <c r="G16" s="8">
        <v>1161</v>
      </c>
      <c r="H16" s="8">
        <v>2142</v>
      </c>
      <c r="I16" s="8">
        <v>1412</v>
      </c>
      <c r="J16" s="8">
        <v>4024</v>
      </c>
      <c r="K16" s="8">
        <v>0</v>
      </c>
      <c r="L16" s="8">
        <v>2528</v>
      </c>
      <c r="M16" s="8">
        <v>2241</v>
      </c>
      <c r="N16" s="8">
        <v>4521</v>
      </c>
      <c r="O16" s="8">
        <v>31934</v>
      </c>
      <c r="P16" s="8">
        <v>36000</v>
      </c>
      <c r="Q16" s="8">
        <f>Original_Data[[#This Row],[Income ]]-Original_Data[[#This Row],[Total Expenditure ]]</f>
        <v>4066</v>
      </c>
      <c r="R16" s="2">
        <f>Original_Data[[#This Row],[Surplus]]/Original_Data[[#This Row],[Income ]]</f>
        <v>0.11294444444444444</v>
      </c>
    </row>
    <row r="17" spans="1:18" x14ac:dyDescent="0.3">
      <c r="A17" s="1">
        <v>44287</v>
      </c>
      <c r="B17">
        <f>YEAR(Original_Data[[#This Row],[Date]])</f>
        <v>2021</v>
      </c>
      <c r="C17" t="str">
        <f>TEXT(Original_Data[[#This Row],[Date]],"mmm")</f>
        <v>Apr</v>
      </c>
      <c r="D17" s="8">
        <v>6842</v>
      </c>
      <c r="E17" s="8">
        <v>10000</v>
      </c>
      <c r="F17" s="8">
        <v>1706</v>
      </c>
      <c r="G17" s="8">
        <v>714</v>
      </c>
      <c r="H17" s="8">
        <v>2357</v>
      </c>
      <c r="I17" s="8">
        <v>1192</v>
      </c>
      <c r="J17" s="8">
        <v>4387</v>
      </c>
      <c r="K17" s="8">
        <v>0</v>
      </c>
      <c r="L17" s="8">
        <v>2984</v>
      </c>
      <c r="M17" s="8">
        <v>2714</v>
      </c>
      <c r="N17" s="8">
        <v>7069</v>
      </c>
      <c r="O17" s="8">
        <v>32896</v>
      </c>
      <c r="P17" s="8">
        <v>43200</v>
      </c>
      <c r="Q17" s="8">
        <f>Original_Data[[#This Row],[Income ]]-Original_Data[[#This Row],[Total Expenditure ]]</f>
        <v>10304</v>
      </c>
      <c r="R17" s="2">
        <f>Original_Data[[#This Row],[Surplus]]/Original_Data[[#This Row],[Income ]]</f>
        <v>0.23851851851851852</v>
      </c>
    </row>
    <row r="18" spans="1:18" x14ac:dyDescent="0.3">
      <c r="A18" s="1">
        <v>44317</v>
      </c>
      <c r="B18">
        <f>YEAR(Original_Data[[#This Row],[Date]])</f>
        <v>2021</v>
      </c>
      <c r="C18" t="str">
        <f>TEXT(Original_Data[[#This Row],[Date]],"mmm")</f>
        <v>May</v>
      </c>
      <c r="D18" s="8">
        <v>4563</v>
      </c>
      <c r="E18" s="8">
        <v>10000</v>
      </c>
      <c r="F18" s="8">
        <v>1595</v>
      </c>
      <c r="G18" s="8">
        <v>1087</v>
      </c>
      <c r="H18" s="8">
        <v>2233</v>
      </c>
      <c r="I18" s="8">
        <v>1820</v>
      </c>
      <c r="J18" s="8">
        <v>5486</v>
      </c>
      <c r="K18" s="8">
        <v>0</v>
      </c>
      <c r="L18" s="8">
        <v>3778</v>
      </c>
      <c r="M18" s="8">
        <v>1748</v>
      </c>
      <c r="N18" s="8">
        <v>5197</v>
      </c>
      <c r="O18" s="8">
        <v>32310</v>
      </c>
      <c r="P18" s="8">
        <v>43200</v>
      </c>
      <c r="Q18" s="8">
        <f>Original_Data[[#This Row],[Income ]]-Original_Data[[#This Row],[Total Expenditure ]]</f>
        <v>10890</v>
      </c>
      <c r="R18" s="2">
        <f>Original_Data[[#This Row],[Surplus]]/Original_Data[[#This Row],[Income ]]</f>
        <v>0.25208333333333333</v>
      </c>
    </row>
    <row r="19" spans="1:18" x14ac:dyDescent="0.3">
      <c r="A19" s="1">
        <v>44348</v>
      </c>
      <c r="B19">
        <f>YEAR(Original_Data[[#This Row],[Date]])</f>
        <v>2021</v>
      </c>
      <c r="C19" t="str">
        <f>TEXT(Original_Data[[#This Row],[Date]],"mmm")</f>
        <v>Jun</v>
      </c>
      <c r="D19" s="8">
        <v>6572</v>
      </c>
      <c r="E19" s="8">
        <v>10000</v>
      </c>
      <c r="F19" s="8">
        <v>3362</v>
      </c>
      <c r="G19" s="8">
        <v>886</v>
      </c>
      <c r="H19" s="8">
        <v>1742</v>
      </c>
      <c r="I19" s="8">
        <v>1983</v>
      </c>
      <c r="J19" s="8">
        <v>5668</v>
      </c>
      <c r="K19" s="8">
        <v>0</v>
      </c>
      <c r="L19" s="8">
        <v>3319</v>
      </c>
      <c r="M19" s="8">
        <v>1577</v>
      </c>
      <c r="N19" s="8">
        <v>5597</v>
      </c>
      <c r="O19" s="8">
        <v>35109</v>
      </c>
      <c r="P19" s="8">
        <v>43200</v>
      </c>
      <c r="Q19" s="8">
        <f>Original_Data[[#This Row],[Income ]]-Original_Data[[#This Row],[Total Expenditure ]]</f>
        <v>8091</v>
      </c>
      <c r="R19" s="2">
        <f>Original_Data[[#This Row],[Surplus]]/Original_Data[[#This Row],[Income ]]</f>
        <v>0.18729166666666666</v>
      </c>
    </row>
    <row r="20" spans="1:18" x14ac:dyDescent="0.3">
      <c r="A20" s="1">
        <v>44378</v>
      </c>
      <c r="B20">
        <f>YEAR(Original_Data[[#This Row],[Date]])</f>
        <v>2021</v>
      </c>
      <c r="C20" t="str">
        <f>TEXT(Original_Data[[#This Row],[Date]],"mmm")</f>
        <v>Jul</v>
      </c>
      <c r="D20" s="8">
        <v>6693</v>
      </c>
      <c r="E20" s="8">
        <v>10000</v>
      </c>
      <c r="F20" s="8">
        <v>2551</v>
      </c>
      <c r="G20" s="8">
        <v>807</v>
      </c>
      <c r="H20" s="8">
        <v>2055</v>
      </c>
      <c r="I20" s="8">
        <v>1595</v>
      </c>
      <c r="J20" s="8">
        <v>6227</v>
      </c>
      <c r="K20" s="8">
        <v>0</v>
      </c>
      <c r="L20" s="8">
        <v>2863</v>
      </c>
      <c r="M20" s="8">
        <v>2821</v>
      </c>
      <c r="N20" s="8">
        <v>5721</v>
      </c>
      <c r="O20" s="8">
        <v>35612</v>
      </c>
      <c r="P20" s="8">
        <v>43200</v>
      </c>
      <c r="Q20" s="8">
        <f>Original_Data[[#This Row],[Income ]]-Original_Data[[#This Row],[Total Expenditure ]]</f>
        <v>7588</v>
      </c>
      <c r="R20" s="2">
        <f>Original_Data[[#This Row],[Surplus]]/Original_Data[[#This Row],[Income ]]</f>
        <v>0.17564814814814814</v>
      </c>
    </row>
    <row r="21" spans="1:18" x14ac:dyDescent="0.3">
      <c r="A21" s="1">
        <v>44409</v>
      </c>
      <c r="B21">
        <f>YEAR(Original_Data[[#This Row],[Date]])</f>
        <v>2021</v>
      </c>
      <c r="C21" t="str">
        <f>TEXT(Original_Data[[#This Row],[Date]],"mmm")</f>
        <v>Aug</v>
      </c>
      <c r="D21" s="8">
        <v>6038</v>
      </c>
      <c r="E21" s="8">
        <v>10000</v>
      </c>
      <c r="F21" s="8">
        <v>2748</v>
      </c>
      <c r="G21" s="8">
        <v>1084</v>
      </c>
      <c r="H21" s="8">
        <v>1876</v>
      </c>
      <c r="I21" s="8">
        <v>989</v>
      </c>
      <c r="J21" s="8">
        <v>4321</v>
      </c>
      <c r="K21" s="8">
        <v>0</v>
      </c>
      <c r="L21" s="8">
        <v>2806</v>
      </c>
      <c r="M21" s="8">
        <v>2981</v>
      </c>
      <c r="N21" s="8">
        <v>5843</v>
      </c>
      <c r="O21" s="8">
        <v>32843</v>
      </c>
      <c r="P21" s="8">
        <v>43200</v>
      </c>
      <c r="Q21" s="8">
        <f>Original_Data[[#This Row],[Income ]]-Original_Data[[#This Row],[Total Expenditure ]]</f>
        <v>10357</v>
      </c>
      <c r="R21" s="2">
        <f>Original_Data[[#This Row],[Surplus]]/Original_Data[[#This Row],[Income ]]</f>
        <v>0.23974537037037036</v>
      </c>
    </row>
    <row r="22" spans="1:18" x14ac:dyDescent="0.3">
      <c r="A22" s="1">
        <v>44440</v>
      </c>
      <c r="B22">
        <f>YEAR(Original_Data[[#This Row],[Date]])</f>
        <v>2021</v>
      </c>
      <c r="C22" t="str">
        <f>TEXT(Original_Data[[#This Row],[Date]],"mmm")</f>
        <v>Sep</v>
      </c>
      <c r="D22" s="8">
        <v>5282</v>
      </c>
      <c r="E22" s="8">
        <v>10000</v>
      </c>
      <c r="F22" s="8">
        <v>2979</v>
      </c>
      <c r="G22" s="8">
        <v>1110</v>
      </c>
      <c r="H22" s="8">
        <v>2148</v>
      </c>
      <c r="I22" s="8">
        <v>1509</v>
      </c>
      <c r="J22" s="8">
        <v>5815</v>
      </c>
      <c r="K22" s="8">
        <v>0</v>
      </c>
      <c r="L22" s="8">
        <v>1817</v>
      </c>
      <c r="M22" s="8">
        <v>2700</v>
      </c>
      <c r="N22" s="8">
        <v>5483</v>
      </c>
      <c r="O22" s="8">
        <v>33360</v>
      </c>
      <c r="P22" s="8">
        <v>43200</v>
      </c>
      <c r="Q22" s="8">
        <f>Original_Data[[#This Row],[Income ]]-Original_Data[[#This Row],[Total Expenditure ]]</f>
        <v>9840</v>
      </c>
      <c r="R22" s="2">
        <f>Original_Data[[#This Row],[Surplus]]/Original_Data[[#This Row],[Income ]]</f>
        <v>0.22777777777777777</v>
      </c>
    </row>
    <row r="23" spans="1:18" x14ac:dyDescent="0.3">
      <c r="A23" s="1">
        <v>44470</v>
      </c>
      <c r="B23">
        <f>YEAR(Original_Data[[#This Row],[Date]])</f>
        <v>2021</v>
      </c>
      <c r="C23" t="str">
        <f>TEXT(Original_Data[[#This Row],[Date]],"mmm")</f>
        <v>Oct</v>
      </c>
      <c r="D23" s="8">
        <v>4663</v>
      </c>
      <c r="E23" s="8">
        <v>10000</v>
      </c>
      <c r="F23" s="8">
        <v>3353</v>
      </c>
      <c r="G23" s="8">
        <v>1196</v>
      </c>
      <c r="H23" s="8">
        <v>1941</v>
      </c>
      <c r="I23" s="8">
        <v>1936</v>
      </c>
      <c r="J23" s="8">
        <v>4863</v>
      </c>
      <c r="K23" s="8">
        <v>0</v>
      </c>
      <c r="L23" s="8">
        <v>2063</v>
      </c>
      <c r="M23" s="8">
        <v>2291</v>
      </c>
      <c r="N23" s="8">
        <v>6468</v>
      </c>
      <c r="O23" s="8">
        <v>32306</v>
      </c>
      <c r="P23" s="8">
        <v>43200</v>
      </c>
      <c r="Q23" s="8">
        <f>Original_Data[[#This Row],[Income ]]-Original_Data[[#This Row],[Total Expenditure ]]</f>
        <v>10894</v>
      </c>
      <c r="R23" s="2">
        <f>Original_Data[[#This Row],[Surplus]]/Original_Data[[#This Row],[Income ]]</f>
        <v>0.25217592592592591</v>
      </c>
    </row>
    <row r="24" spans="1:18" x14ac:dyDescent="0.3">
      <c r="A24" s="1">
        <v>44501</v>
      </c>
      <c r="B24">
        <f>YEAR(Original_Data[[#This Row],[Date]])</f>
        <v>2021</v>
      </c>
      <c r="C24" t="str">
        <f>TEXT(Original_Data[[#This Row],[Date]],"mmm")</f>
        <v>Nov</v>
      </c>
      <c r="D24" s="8">
        <v>5636</v>
      </c>
      <c r="E24" s="8">
        <v>10000</v>
      </c>
      <c r="F24" s="8">
        <v>2604</v>
      </c>
      <c r="G24" s="8">
        <v>886</v>
      </c>
      <c r="H24" s="8">
        <v>1612</v>
      </c>
      <c r="I24" s="8">
        <v>1751</v>
      </c>
      <c r="J24" s="8">
        <v>5207</v>
      </c>
      <c r="K24" s="8">
        <v>0</v>
      </c>
      <c r="L24" s="8">
        <v>1501</v>
      </c>
      <c r="M24" s="8">
        <v>1641</v>
      </c>
      <c r="N24" s="8">
        <v>4462</v>
      </c>
      <c r="O24" s="8">
        <v>30838</v>
      </c>
      <c r="P24" s="8">
        <v>43200</v>
      </c>
      <c r="Q24" s="8">
        <f>Original_Data[[#This Row],[Income ]]-Original_Data[[#This Row],[Total Expenditure ]]</f>
        <v>12362</v>
      </c>
      <c r="R24" s="2">
        <f>Original_Data[[#This Row],[Surplus]]/Original_Data[[#This Row],[Income ]]</f>
        <v>0.28615740740740742</v>
      </c>
    </row>
    <row r="25" spans="1:18" x14ac:dyDescent="0.3">
      <c r="A25" s="1">
        <v>44531</v>
      </c>
      <c r="B25">
        <f>YEAR(Original_Data[[#This Row],[Date]])</f>
        <v>2021</v>
      </c>
      <c r="C25" t="str">
        <f>TEXT(Original_Data[[#This Row],[Date]],"mmm")</f>
        <v>Dec</v>
      </c>
      <c r="D25" s="8">
        <v>5759</v>
      </c>
      <c r="E25" s="8">
        <v>10000</v>
      </c>
      <c r="F25" s="8">
        <v>2926</v>
      </c>
      <c r="G25" s="8">
        <v>825</v>
      </c>
      <c r="H25" s="8">
        <v>1629</v>
      </c>
      <c r="I25" s="8">
        <v>1184</v>
      </c>
      <c r="J25" s="8">
        <v>5287</v>
      </c>
      <c r="K25" s="8">
        <v>0</v>
      </c>
      <c r="L25" s="8">
        <v>2576</v>
      </c>
      <c r="M25" s="8">
        <v>2707</v>
      </c>
      <c r="N25" s="8">
        <v>6708</v>
      </c>
      <c r="O25" s="8">
        <v>32893</v>
      </c>
      <c r="P25" s="8">
        <v>43200</v>
      </c>
      <c r="Q25" s="8">
        <f>Original_Data[[#This Row],[Income ]]-Original_Data[[#This Row],[Total Expenditure ]]</f>
        <v>10307</v>
      </c>
      <c r="R25" s="2">
        <f>Original_Data[[#This Row],[Surplus]]/Original_Data[[#This Row],[Income ]]</f>
        <v>0.23858796296296297</v>
      </c>
    </row>
    <row r="26" spans="1:18" x14ac:dyDescent="0.3">
      <c r="A26" s="1">
        <v>44562</v>
      </c>
      <c r="B26">
        <f>YEAR(Original_Data[[#This Row],[Date]])</f>
        <v>2022</v>
      </c>
      <c r="C26" t="str">
        <f>TEXT(Original_Data[[#This Row],[Date]],"mmm")</f>
        <v>Jan</v>
      </c>
      <c r="D26" s="8">
        <v>6294</v>
      </c>
      <c r="E26" s="8">
        <v>10000</v>
      </c>
      <c r="F26" s="8">
        <v>2962</v>
      </c>
      <c r="G26" s="8">
        <v>902</v>
      </c>
      <c r="H26" s="8">
        <v>1683</v>
      </c>
      <c r="I26" s="8">
        <v>1635</v>
      </c>
      <c r="J26" s="8">
        <v>6547</v>
      </c>
      <c r="K26" s="8">
        <v>0</v>
      </c>
      <c r="L26" s="8">
        <v>1622</v>
      </c>
      <c r="M26" s="8">
        <v>1400</v>
      </c>
      <c r="N26" s="8">
        <v>6565</v>
      </c>
      <c r="O26" s="8">
        <v>33045</v>
      </c>
      <c r="P26" s="8">
        <v>48000</v>
      </c>
      <c r="Q26" s="8">
        <f>Original_Data[[#This Row],[Income ]]-Original_Data[[#This Row],[Total Expenditure ]]</f>
        <v>14955</v>
      </c>
      <c r="R26" s="2">
        <f>Original_Data[[#This Row],[Surplus]]/Original_Data[[#This Row],[Income ]]</f>
        <v>0.31156250000000002</v>
      </c>
    </row>
    <row r="27" spans="1:18" x14ac:dyDescent="0.3">
      <c r="A27" s="1">
        <v>44593</v>
      </c>
      <c r="B27">
        <f>YEAR(Original_Data[[#This Row],[Date]])</f>
        <v>2022</v>
      </c>
      <c r="C27" t="str">
        <f>TEXT(Original_Data[[#This Row],[Date]],"mmm")</f>
        <v>Feb</v>
      </c>
      <c r="D27" s="8">
        <v>6931</v>
      </c>
      <c r="E27" s="8">
        <v>10000</v>
      </c>
      <c r="F27" s="8">
        <v>2481</v>
      </c>
      <c r="G27" s="8">
        <v>1094</v>
      </c>
      <c r="H27" s="8">
        <v>2010</v>
      </c>
      <c r="I27" s="8">
        <v>997</v>
      </c>
      <c r="J27" s="8">
        <v>5161</v>
      </c>
      <c r="K27" s="8">
        <v>0</v>
      </c>
      <c r="L27" s="8">
        <v>3691</v>
      </c>
      <c r="M27" s="8">
        <v>1608</v>
      </c>
      <c r="N27" s="8">
        <v>7239</v>
      </c>
      <c r="O27" s="8">
        <v>33973</v>
      </c>
      <c r="P27" s="8">
        <v>48000</v>
      </c>
      <c r="Q27" s="8">
        <f>Original_Data[[#This Row],[Income ]]-Original_Data[[#This Row],[Total Expenditure ]]</f>
        <v>14027</v>
      </c>
      <c r="R27" s="2">
        <f>Original_Data[[#This Row],[Surplus]]/Original_Data[[#This Row],[Income ]]</f>
        <v>0.29222916666666665</v>
      </c>
    </row>
    <row r="28" spans="1:18" x14ac:dyDescent="0.3">
      <c r="A28" s="1">
        <v>44621</v>
      </c>
      <c r="B28">
        <f>YEAR(Original_Data[[#This Row],[Date]])</f>
        <v>2022</v>
      </c>
      <c r="C28" t="str">
        <f>TEXT(Original_Data[[#This Row],[Date]],"mmm")</f>
        <v>Mar</v>
      </c>
      <c r="D28" s="8">
        <v>6511</v>
      </c>
      <c r="E28" s="8">
        <v>10000</v>
      </c>
      <c r="F28" s="8">
        <v>2263</v>
      </c>
      <c r="G28" s="8">
        <v>1142</v>
      </c>
      <c r="H28" s="8">
        <v>2431</v>
      </c>
      <c r="I28" s="8">
        <v>1459</v>
      </c>
      <c r="J28" s="8">
        <v>6029</v>
      </c>
      <c r="K28" s="8">
        <v>0</v>
      </c>
      <c r="L28" s="8">
        <v>3950</v>
      </c>
      <c r="M28" s="8">
        <v>2369</v>
      </c>
      <c r="N28" s="8">
        <v>5887</v>
      </c>
      <c r="O28" s="8">
        <v>36154</v>
      </c>
      <c r="P28" s="8">
        <v>48000</v>
      </c>
      <c r="Q28" s="8">
        <f>Original_Data[[#This Row],[Income ]]-Original_Data[[#This Row],[Total Expenditure ]]</f>
        <v>11846</v>
      </c>
      <c r="R28" s="2">
        <f>Original_Data[[#This Row],[Surplus]]/Original_Data[[#This Row],[Income ]]</f>
        <v>0.24679166666666666</v>
      </c>
    </row>
    <row r="29" spans="1:18" x14ac:dyDescent="0.3">
      <c r="A29" s="1">
        <v>44652</v>
      </c>
      <c r="B29">
        <f>YEAR(Original_Data[[#This Row],[Date]])</f>
        <v>2022</v>
      </c>
      <c r="C29" t="str">
        <f>TEXT(Original_Data[[#This Row],[Date]],"mmm")</f>
        <v>Apr</v>
      </c>
      <c r="D29" s="8">
        <v>6911</v>
      </c>
      <c r="E29" s="8">
        <v>10000</v>
      </c>
      <c r="F29" s="8">
        <v>2428</v>
      </c>
      <c r="G29" s="8">
        <v>1123</v>
      </c>
      <c r="H29" s="8">
        <v>2139</v>
      </c>
      <c r="I29" s="8">
        <v>1288</v>
      </c>
      <c r="J29" s="8">
        <v>5130</v>
      </c>
      <c r="K29" s="8">
        <v>0</v>
      </c>
      <c r="L29" s="8">
        <v>3885</v>
      </c>
      <c r="M29" s="8">
        <v>1871</v>
      </c>
      <c r="N29" s="8">
        <v>6437</v>
      </c>
      <c r="O29" s="8">
        <v>34775</v>
      </c>
      <c r="P29" s="8">
        <v>48000</v>
      </c>
      <c r="Q29" s="8">
        <f>Original_Data[[#This Row],[Income ]]-Original_Data[[#This Row],[Total Expenditure ]]</f>
        <v>13225</v>
      </c>
      <c r="R29" s="2">
        <f>Original_Data[[#This Row],[Surplus]]/Original_Data[[#This Row],[Income ]]</f>
        <v>0.27552083333333333</v>
      </c>
    </row>
    <row r="30" spans="1:18" x14ac:dyDescent="0.3">
      <c r="A30" s="1">
        <v>44682</v>
      </c>
      <c r="B30">
        <f>YEAR(Original_Data[[#This Row],[Date]])</f>
        <v>2022</v>
      </c>
      <c r="C30" t="str">
        <f>TEXT(Original_Data[[#This Row],[Date]],"mmm")</f>
        <v>May</v>
      </c>
      <c r="D30" s="8">
        <v>6520</v>
      </c>
      <c r="E30" s="8">
        <v>10000</v>
      </c>
      <c r="F30" s="8">
        <v>2938</v>
      </c>
      <c r="G30" s="8">
        <v>1177</v>
      </c>
      <c r="H30" s="8">
        <v>1797</v>
      </c>
      <c r="I30" s="8">
        <v>950</v>
      </c>
      <c r="J30" s="8">
        <v>6383</v>
      </c>
      <c r="K30" s="8">
        <v>0</v>
      </c>
      <c r="L30" s="8">
        <v>3134</v>
      </c>
      <c r="M30" s="8">
        <v>1262</v>
      </c>
      <c r="N30" s="8">
        <v>8722</v>
      </c>
      <c r="O30" s="8">
        <v>34161</v>
      </c>
      <c r="P30" s="8">
        <v>48000</v>
      </c>
      <c r="Q30" s="8">
        <f>Original_Data[[#This Row],[Income ]]-Original_Data[[#This Row],[Total Expenditure ]]</f>
        <v>13839</v>
      </c>
      <c r="R30" s="2">
        <f>Original_Data[[#This Row],[Surplus]]/Original_Data[[#This Row],[Income ]]</f>
        <v>0.28831250000000003</v>
      </c>
    </row>
    <row r="31" spans="1:18" x14ac:dyDescent="0.3">
      <c r="A31" s="1">
        <v>44713</v>
      </c>
      <c r="B31">
        <f>YEAR(Original_Data[[#This Row],[Date]])</f>
        <v>2022</v>
      </c>
      <c r="C31" t="str">
        <f>TEXT(Original_Data[[#This Row],[Date]],"mmm")</f>
        <v>Jun</v>
      </c>
      <c r="D31" s="8">
        <v>5016</v>
      </c>
      <c r="E31" s="8">
        <v>10000</v>
      </c>
      <c r="F31" s="8">
        <v>1501</v>
      </c>
      <c r="G31" s="8">
        <v>1084</v>
      </c>
      <c r="H31" s="8">
        <v>1803</v>
      </c>
      <c r="I31" s="8">
        <v>1680</v>
      </c>
      <c r="J31" s="8">
        <v>6139</v>
      </c>
      <c r="K31" s="8">
        <v>0</v>
      </c>
      <c r="L31" s="8">
        <v>3801</v>
      </c>
      <c r="M31" s="8">
        <v>2675</v>
      </c>
      <c r="N31" s="8">
        <v>9036</v>
      </c>
      <c r="O31" s="8">
        <v>33699</v>
      </c>
      <c r="P31" s="8">
        <v>48000</v>
      </c>
      <c r="Q31" s="8">
        <f>Original_Data[[#This Row],[Income ]]-Original_Data[[#This Row],[Total Expenditure ]]</f>
        <v>14301</v>
      </c>
      <c r="R31" s="2">
        <f>Original_Data[[#This Row],[Surplus]]/Original_Data[[#This Row],[Income ]]</f>
        <v>0.29793750000000002</v>
      </c>
    </row>
    <row r="32" spans="1:18" x14ac:dyDescent="0.3">
      <c r="A32" s="1">
        <v>44743</v>
      </c>
      <c r="B32">
        <f>YEAR(Original_Data[[#This Row],[Date]])</f>
        <v>2022</v>
      </c>
      <c r="C32" t="str">
        <f>TEXT(Original_Data[[#This Row],[Date]],"mmm")</f>
        <v>Jul</v>
      </c>
      <c r="D32" s="8">
        <v>6056</v>
      </c>
      <c r="E32" s="8">
        <v>10000</v>
      </c>
      <c r="F32" s="8">
        <v>3182</v>
      </c>
      <c r="G32" s="8">
        <v>1003</v>
      </c>
      <c r="H32" s="8">
        <v>1707</v>
      </c>
      <c r="I32" s="8">
        <v>1922</v>
      </c>
      <c r="J32" s="8">
        <v>6929</v>
      </c>
      <c r="K32" s="8">
        <v>0</v>
      </c>
      <c r="L32" s="8">
        <v>2654</v>
      </c>
      <c r="M32" s="8">
        <v>1403</v>
      </c>
      <c r="N32" s="8">
        <v>8543</v>
      </c>
      <c r="O32" s="8">
        <v>34856</v>
      </c>
      <c r="P32" s="8">
        <v>48000</v>
      </c>
      <c r="Q32" s="8">
        <f>Original_Data[[#This Row],[Income ]]-Original_Data[[#This Row],[Total Expenditure ]]</f>
        <v>13144</v>
      </c>
      <c r="R32" s="2">
        <f>Original_Data[[#This Row],[Surplus]]/Original_Data[[#This Row],[Income ]]</f>
        <v>0.27383333333333332</v>
      </c>
    </row>
    <row r="33" spans="1:18" x14ac:dyDescent="0.3">
      <c r="A33" s="1">
        <v>44774</v>
      </c>
      <c r="B33">
        <f>YEAR(Original_Data[[#This Row],[Date]])</f>
        <v>2022</v>
      </c>
      <c r="C33" t="str">
        <f>TEXT(Original_Data[[#This Row],[Date]],"mmm")</f>
        <v>Aug</v>
      </c>
      <c r="D33" s="8">
        <v>4627</v>
      </c>
      <c r="E33" s="8">
        <v>10000</v>
      </c>
      <c r="F33" s="8">
        <v>3148</v>
      </c>
      <c r="G33" s="8">
        <v>1155</v>
      </c>
      <c r="H33" s="8">
        <v>1919</v>
      </c>
      <c r="I33" s="8">
        <v>1386</v>
      </c>
      <c r="J33" s="8">
        <v>6255</v>
      </c>
      <c r="K33" s="8">
        <v>0</v>
      </c>
      <c r="L33" s="8">
        <v>2945</v>
      </c>
      <c r="M33" s="8">
        <v>1103</v>
      </c>
      <c r="N33" s="8">
        <v>4844</v>
      </c>
      <c r="O33" s="8">
        <v>32538</v>
      </c>
      <c r="P33" s="8">
        <v>48000</v>
      </c>
      <c r="Q33" s="8">
        <f>Original_Data[[#This Row],[Income ]]-Original_Data[[#This Row],[Total Expenditure ]]</f>
        <v>15462</v>
      </c>
      <c r="R33" s="2">
        <f>Original_Data[[#This Row],[Surplus]]/Original_Data[[#This Row],[Income ]]</f>
        <v>0.32212499999999999</v>
      </c>
    </row>
    <row r="34" spans="1:18" x14ac:dyDescent="0.3">
      <c r="A34" s="1">
        <v>44805</v>
      </c>
      <c r="B34">
        <f>YEAR(Original_Data[[#This Row],[Date]])</f>
        <v>2022</v>
      </c>
      <c r="C34" t="str">
        <f>TEXT(Original_Data[[#This Row],[Date]],"mmm")</f>
        <v>Sep</v>
      </c>
      <c r="D34" s="8">
        <v>6557</v>
      </c>
      <c r="E34" s="8">
        <v>10000</v>
      </c>
      <c r="F34" s="8">
        <v>1652</v>
      </c>
      <c r="G34" s="8">
        <v>1048</v>
      </c>
      <c r="H34" s="8">
        <v>2413</v>
      </c>
      <c r="I34" s="8">
        <v>898</v>
      </c>
      <c r="J34" s="8">
        <v>6116</v>
      </c>
      <c r="K34" s="8">
        <v>0</v>
      </c>
      <c r="L34" s="8">
        <v>3419</v>
      </c>
      <c r="M34" s="8">
        <v>1877</v>
      </c>
      <c r="N34" s="8">
        <v>8121</v>
      </c>
      <c r="O34" s="8">
        <v>33980</v>
      </c>
      <c r="P34" s="8">
        <v>48000</v>
      </c>
      <c r="Q34" s="8">
        <f>Original_Data[[#This Row],[Income ]]-Original_Data[[#This Row],[Total Expenditure ]]</f>
        <v>14020</v>
      </c>
      <c r="R34" s="2">
        <f>Original_Data[[#This Row],[Surplus]]/Original_Data[[#This Row],[Income ]]</f>
        <v>0.29208333333333331</v>
      </c>
    </row>
    <row r="35" spans="1:18" x14ac:dyDescent="0.3">
      <c r="A35" s="1">
        <v>44835</v>
      </c>
      <c r="B35">
        <f>YEAR(Original_Data[[#This Row],[Date]])</f>
        <v>2022</v>
      </c>
      <c r="C35" t="str">
        <f>TEXT(Original_Data[[#This Row],[Date]],"mmm")</f>
        <v>Oct</v>
      </c>
      <c r="D35" s="8">
        <v>4956</v>
      </c>
      <c r="E35" s="8">
        <v>10000</v>
      </c>
      <c r="F35" s="8">
        <v>3103</v>
      </c>
      <c r="G35" s="8">
        <v>988</v>
      </c>
      <c r="H35" s="8">
        <v>1897</v>
      </c>
      <c r="I35" s="8">
        <v>960</v>
      </c>
      <c r="J35" s="8">
        <v>6591</v>
      </c>
      <c r="K35" s="8">
        <v>0</v>
      </c>
      <c r="L35" s="8">
        <v>2800</v>
      </c>
      <c r="M35" s="8">
        <v>1815</v>
      </c>
      <c r="N35" s="8">
        <v>7918</v>
      </c>
      <c r="O35" s="8">
        <v>33110</v>
      </c>
      <c r="P35" s="8">
        <v>48000</v>
      </c>
      <c r="Q35" s="8">
        <f>Original_Data[[#This Row],[Income ]]-Original_Data[[#This Row],[Total Expenditure ]]</f>
        <v>14890</v>
      </c>
      <c r="R35" s="2">
        <f>Original_Data[[#This Row],[Surplus]]/Original_Data[[#This Row],[Income ]]</f>
        <v>0.31020833333333331</v>
      </c>
    </row>
    <row r="36" spans="1:18" x14ac:dyDescent="0.3">
      <c r="A36" s="1">
        <v>44866</v>
      </c>
      <c r="B36">
        <f>YEAR(Original_Data[[#This Row],[Date]])</f>
        <v>2022</v>
      </c>
      <c r="C36" t="str">
        <f>TEXT(Original_Data[[#This Row],[Date]],"mmm")</f>
        <v>Nov</v>
      </c>
      <c r="D36" s="8">
        <v>5158</v>
      </c>
      <c r="E36" s="8">
        <v>10000</v>
      </c>
      <c r="F36" s="8">
        <v>2139</v>
      </c>
      <c r="G36" s="8">
        <v>732</v>
      </c>
      <c r="H36" s="8">
        <v>2187</v>
      </c>
      <c r="I36" s="8">
        <v>1200</v>
      </c>
      <c r="J36" s="8">
        <v>5682</v>
      </c>
      <c r="K36" s="8">
        <v>0</v>
      </c>
      <c r="L36" s="8">
        <v>1959</v>
      </c>
      <c r="M36" s="8">
        <v>1954</v>
      </c>
      <c r="N36" s="8">
        <v>6072</v>
      </c>
      <c r="O36" s="8">
        <v>31011</v>
      </c>
      <c r="P36" s="8">
        <v>48000</v>
      </c>
      <c r="Q36" s="8">
        <f>Original_Data[[#This Row],[Income ]]-Original_Data[[#This Row],[Total Expenditure ]]</f>
        <v>16989</v>
      </c>
      <c r="R36" s="2">
        <f>Original_Data[[#This Row],[Surplus]]/Original_Data[[#This Row],[Income ]]</f>
        <v>0.35393750000000002</v>
      </c>
    </row>
    <row r="37" spans="1:18" x14ac:dyDescent="0.3">
      <c r="A37" s="1">
        <v>44896</v>
      </c>
      <c r="B37">
        <f>YEAR(Original_Data[[#This Row],[Date]])</f>
        <v>2022</v>
      </c>
      <c r="C37" t="str">
        <f>TEXT(Original_Data[[#This Row],[Date]],"mmm")</f>
        <v>Dec</v>
      </c>
      <c r="D37" s="8">
        <v>6797</v>
      </c>
      <c r="E37" s="8">
        <v>10000</v>
      </c>
      <c r="F37" s="8">
        <v>1729</v>
      </c>
      <c r="G37" s="8">
        <v>1064</v>
      </c>
      <c r="H37" s="8">
        <v>2062</v>
      </c>
      <c r="I37" s="8">
        <v>837</v>
      </c>
      <c r="J37" s="8">
        <v>6314</v>
      </c>
      <c r="K37" s="8">
        <v>0</v>
      </c>
      <c r="L37" s="8">
        <v>3985</v>
      </c>
      <c r="M37" s="8">
        <v>2799</v>
      </c>
      <c r="N37" s="8">
        <v>8615</v>
      </c>
      <c r="O37" s="8">
        <v>35587</v>
      </c>
      <c r="P37" s="8">
        <v>48000</v>
      </c>
      <c r="Q37" s="8">
        <f>Original_Data[[#This Row],[Income ]]-Original_Data[[#This Row],[Total Expenditure ]]</f>
        <v>12413</v>
      </c>
      <c r="R37" s="2">
        <f>Original_Data[[#This Row],[Surplus]]/Original_Data[[#This Row],[Income ]]</f>
        <v>0.25860416666666669</v>
      </c>
    </row>
    <row r="38" spans="1:18" x14ac:dyDescent="0.3">
      <c r="A38" s="1">
        <v>44927</v>
      </c>
      <c r="B38">
        <f>YEAR(Original_Data[[#This Row],[Date]])</f>
        <v>2023</v>
      </c>
      <c r="C38" t="str">
        <f>TEXT(Original_Data[[#This Row],[Date]],"mmm")</f>
        <v>Jan</v>
      </c>
      <c r="D38" s="8">
        <v>4797</v>
      </c>
      <c r="E38" s="8">
        <v>10000</v>
      </c>
      <c r="F38" s="8">
        <v>2378</v>
      </c>
      <c r="G38" s="8">
        <v>1147</v>
      </c>
      <c r="H38" s="8">
        <v>1980</v>
      </c>
      <c r="I38" s="8">
        <v>1083</v>
      </c>
      <c r="J38" s="8">
        <v>6533</v>
      </c>
      <c r="K38" s="8">
        <v>0</v>
      </c>
      <c r="L38" s="8">
        <v>1952</v>
      </c>
      <c r="M38" s="8">
        <v>2019</v>
      </c>
      <c r="N38" s="8">
        <v>6147</v>
      </c>
      <c r="O38" s="8">
        <v>31889</v>
      </c>
      <c r="P38" s="8">
        <v>48000</v>
      </c>
      <c r="Q38" s="8">
        <f>Original_Data[[#This Row],[Income ]]-Original_Data[[#This Row],[Total Expenditure ]]</f>
        <v>16111</v>
      </c>
      <c r="R38" s="2">
        <f>Original_Data[[#This Row],[Surplus]]/Original_Data[[#This Row],[Income ]]</f>
        <v>0.33564583333333331</v>
      </c>
    </row>
    <row r="39" spans="1:18" x14ac:dyDescent="0.3">
      <c r="A39" s="1">
        <v>44958</v>
      </c>
      <c r="B39">
        <f>YEAR(Original_Data[[#This Row],[Date]])</f>
        <v>2023</v>
      </c>
      <c r="C39" t="str">
        <f>TEXT(Original_Data[[#This Row],[Date]],"mmm")</f>
        <v>Feb</v>
      </c>
      <c r="D39" s="8">
        <v>4546</v>
      </c>
      <c r="E39" s="8">
        <v>10000</v>
      </c>
      <c r="F39" s="8">
        <v>3035</v>
      </c>
      <c r="G39" s="8">
        <v>716</v>
      </c>
      <c r="H39" s="8">
        <v>1671</v>
      </c>
      <c r="I39" s="8">
        <v>1872</v>
      </c>
      <c r="J39" s="8">
        <v>7089</v>
      </c>
      <c r="K39" s="8">
        <v>0</v>
      </c>
      <c r="L39" s="8">
        <v>2743</v>
      </c>
      <c r="M39" s="8">
        <v>1157</v>
      </c>
      <c r="N39" s="8">
        <v>9191</v>
      </c>
      <c r="O39" s="8">
        <v>32829</v>
      </c>
      <c r="P39" s="8">
        <v>48000</v>
      </c>
      <c r="Q39" s="8">
        <f>Original_Data[[#This Row],[Income ]]-Original_Data[[#This Row],[Total Expenditure ]]</f>
        <v>15171</v>
      </c>
      <c r="R39" s="2">
        <f>Original_Data[[#This Row],[Surplus]]/Original_Data[[#This Row],[Income ]]</f>
        <v>0.31606250000000002</v>
      </c>
    </row>
    <row r="40" spans="1:18" x14ac:dyDescent="0.3">
      <c r="A40" s="1">
        <v>44986</v>
      </c>
      <c r="B40">
        <f>YEAR(Original_Data[[#This Row],[Date]])</f>
        <v>2023</v>
      </c>
      <c r="C40" t="str">
        <f>TEXT(Original_Data[[#This Row],[Date]],"mmm")</f>
        <v>Mar</v>
      </c>
      <c r="D40" s="8">
        <v>6146</v>
      </c>
      <c r="E40" s="8">
        <v>10000</v>
      </c>
      <c r="F40" s="8">
        <v>1779</v>
      </c>
      <c r="G40" s="8">
        <v>1048</v>
      </c>
      <c r="H40" s="8">
        <v>1996</v>
      </c>
      <c r="I40" s="8">
        <v>1860</v>
      </c>
      <c r="J40" s="8">
        <v>6173</v>
      </c>
      <c r="K40" s="8">
        <v>0</v>
      </c>
      <c r="L40" s="8">
        <v>1801</v>
      </c>
      <c r="M40" s="8">
        <v>1180</v>
      </c>
      <c r="N40" s="8">
        <v>9505</v>
      </c>
      <c r="O40" s="8">
        <v>31983</v>
      </c>
      <c r="P40" s="8">
        <v>48000</v>
      </c>
      <c r="Q40" s="8">
        <f>Original_Data[[#This Row],[Income ]]-Original_Data[[#This Row],[Total Expenditure ]]</f>
        <v>16017</v>
      </c>
      <c r="R40" s="2">
        <f>Original_Data[[#This Row],[Surplus]]/Original_Data[[#This Row],[Income ]]</f>
        <v>0.33368750000000003</v>
      </c>
    </row>
    <row r="41" spans="1:18" x14ac:dyDescent="0.3">
      <c r="A41" s="1">
        <v>45017</v>
      </c>
      <c r="B41">
        <f>YEAR(Original_Data[[#This Row],[Date]])</f>
        <v>2023</v>
      </c>
      <c r="C41" t="str">
        <f>TEXT(Original_Data[[#This Row],[Date]],"mmm")</f>
        <v>Apr</v>
      </c>
      <c r="D41" s="8">
        <v>5139</v>
      </c>
      <c r="E41" s="8">
        <v>10000</v>
      </c>
      <c r="F41" s="8">
        <v>1752</v>
      </c>
      <c r="G41" s="8">
        <v>1168</v>
      </c>
      <c r="H41" s="8">
        <v>2427</v>
      </c>
      <c r="I41" s="8">
        <v>990</v>
      </c>
      <c r="J41" s="8">
        <v>6487</v>
      </c>
      <c r="K41" s="8">
        <v>0</v>
      </c>
      <c r="L41" s="8">
        <v>3506</v>
      </c>
      <c r="M41" s="8">
        <v>2184</v>
      </c>
      <c r="N41" s="8">
        <v>6549</v>
      </c>
      <c r="O41" s="8">
        <v>33653</v>
      </c>
      <c r="P41" s="8">
        <v>56000</v>
      </c>
      <c r="Q41" s="8">
        <f>Original_Data[[#This Row],[Income ]]-Original_Data[[#This Row],[Total Expenditure ]]</f>
        <v>22347</v>
      </c>
      <c r="R41" s="2">
        <f>Original_Data[[#This Row],[Surplus]]/Original_Data[[#This Row],[Income ]]</f>
        <v>0.39905357142857145</v>
      </c>
    </row>
    <row r="42" spans="1:18" x14ac:dyDescent="0.3">
      <c r="A42" s="1">
        <v>45047</v>
      </c>
      <c r="B42">
        <f>YEAR(Original_Data[[#This Row],[Date]])</f>
        <v>2023</v>
      </c>
      <c r="C42" t="str">
        <f>TEXT(Original_Data[[#This Row],[Date]],"mmm")</f>
        <v>May</v>
      </c>
      <c r="D42" s="8">
        <v>5816</v>
      </c>
      <c r="E42" s="8">
        <v>10000</v>
      </c>
      <c r="F42" s="8">
        <v>2069</v>
      </c>
      <c r="G42" s="8">
        <v>1022</v>
      </c>
      <c r="H42" s="8">
        <v>2371</v>
      </c>
      <c r="I42" s="8">
        <v>1365</v>
      </c>
      <c r="J42" s="8">
        <v>7479</v>
      </c>
      <c r="K42" s="8">
        <v>0</v>
      </c>
      <c r="L42" s="8">
        <v>2125</v>
      </c>
      <c r="M42" s="8">
        <v>2311</v>
      </c>
      <c r="N42" s="8">
        <v>7608</v>
      </c>
      <c r="O42" s="8">
        <v>34558</v>
      </c>
      <c r="P42" s="8">
        <v>56000</v>
      </c>
      <c r="Q42" s="8">
        <f>Original_Data[[#This Row],[Income ]]-Original_Data[[#This Row],[Total Expenditure ]]</f>
        <v>21442</v>
      </c>
      <c r="R42" s="2">
        <f>Original_Data[[#This Row],[Surplus]]/Original_Data[[#This Row],[Income ]]</f>
        <v>0.38289285714285715</v>
      </c>
    </row>
    <row r="43" spans="1:18" x14ac:dyDescent="0.3">
      <c r="A43" s="1">
        <v>45078</v>
      </c>
      <c r="B43">
        <f>YEAR(Original_Data[[#This Row],[Date]])</f>
        <v>2023</v>
      </c>
      <c r="C43" t="str">
        <f>TEXT(Original_Data[[#This Row],[Date]],"mmm")</f>
        <v>Jun</v>
      </c>
      <c r="D43" s="8">
        <v>4154</v>
      </c>
      <c r="E43" s="8">
        <v>10000</v>
      </c>
      <c r="F43" s="8">
        <v>2909</v>
      </c>
      <c r="G43" s="8">
        <v>1173</v>
      </c>
      <c r="H43" s="8">
        <v>2284</v>
      </c>
      <c r="I43" s="8">
        <v>1289</v>
      </c>
      <c r="J43" s="8">
        <v>7147</v>
      </c>
      <c r="K43" s="8">
        <v>0</v>
      </c>
      <c r="L43" s="8">
        <v>1745</v>
      </c>
      <c r="M43" s="8">
        <v>2199</v>
      </c>
      <c r="N43" s="8">
        <v>7260</v>
      </c>
      <c r="O43" s="8">
        <v>32900</v>
      </c>
      <c r="P43" s="8">
        <v>56000</v>
      </c>
      <c r="Q43" s="8">
        <f>Original_Data[[#This Row],[Income ]]-Original_Data[[#This Row],[Total Expenditure ]]</f>
        <v>23100</v>
      </c>
      <c r="R43" s="2">
        <f>Original_Data[[#This Row],[Surplus]]/Original_Data[[#This Row],[Income ]]</f>
        <v>0.41249999999999998</v>
      </c>
    </row>
    <row r="44" spans="1:18" x14ac:dyDescent="0.3">
      <c r="A44" s="1">
        <v>45108</v>
      </c>
      <c r="B44">
        <f>YEAR(Original_Data[[#This Row],[Date]])</f>
        <v>2023</v>
      </c>
      <c r="C44" t="str">
        <f>TEXT(Original_Data[[#This Row],[Date]],"mmm")</f>
        <v>Jul</v>
      </c>
      <c r="D44" s="8">
        <v>4537</v>
      </c>
      <c r="E44" s="8">
        <v>10000</v>
      </c>
      <c r="F44" s="8">
        <v>1907</v>
      </c>
      <c r="G44" s="8">
        <v>712</v>
      </c>
      <c r="H44" s="8">
        <v>2327</v>
      </c>
      <c r="I44" s="8">
        <v>1720</v>
      </c>
      <c r="J44" s="8">
        <v>7004</v>
      </c>
      <c r="K44" s="8">
        <v>0</v>
      </c>
      <c r="L44" s="8">
        <v>3029</v>
      </c>
      <c r="M44" s="8">
        <v>1902</v>
      </c>
      <c r="N44" s="8">
        <v>10070</v>
      </c>
      <c r="O44" s="8">
        <v>33138</v>
      </c>
      <c r="P44" s="8">
        <v>56000</v>
      </c>
      <c r="Q44" s="8">
        <f>Original_Data[[#This Row],[Income ]]-Original_Data[[#This Row],[Total Expenditure ]]</f>
        <v>22862</v>
      </c>
      <c r="R44" s="2">
        <f>Original_Data[[#This Row],[Surplus]]/Original_Data[[#This Row],[Income ]]</f>
        <v>0.40825</v>
      </c>
    </row>
    <row r="45" spans="1:18" x14ac:dyDescent="0.3">
      <c r="A45" s="1">
        <v>45139</v>
      </c>
      <c r="B45">
        <f>YEAR(Original_Data[[#This Row],[Date]])</f>
        <v>2023</v>
      </c>
      <c r="C45" t="str">
        <f>TEXT(Original_Data[[#This Row],[Date]],"mmm")</f>
        <v>Aug</v>
      </c>
      <c r="D45" s="8">
        <v>6368</v>
      </c>
      <c r="E45" s="8">
        <v>10000</v>
      </c>
      <c r="F45" s="8">
        <v>1899</v>
      </c>
      <c r="G45" s="8">
        <v>841</v>
      </c>
      <c r="H45" s="8">
        <v>2471</v>
      </c>
      <c r="I45" s="8">
        <v>1311</v>
      </c>
      <c r="J45" s="8">
        <v>5677</v>
      </c>
      <c r="K45" s="8">
        <v>0</v>
      </c>
      <c r="L45" s="8">
        <v>3406</v>
      </c>
      <c r="M45" s="8">
        <v>1470</v>
      </c>
      <c r="N45" s="8">
        <v>8841</v>
      </c>
      <c r="O45" s="8">
        <v>33443</v>
      </c>
      <c r="P45" s="8">
        <v>56000</v>
      </c>
      <c r="Q45" s="8">
        <f>Original_Data[[#This Row],[Income ]]-Original_Data[[#This Row],[Total Expenditure ]]</f>
        <v>22557</v>
      </c>
      <c r="R45" s="2">
        <f>Original_Data[[#This Row],[Surplus]]/Original_Data[[#This Row],[Income ]]</f>
        <v>0.40280357142857143</v>
      </c>
    </row>
    <row r="46" spans="1:18" x14ac:dyDescent="0.3">
      <c r="A46" s="1">
        <v>45170</v>
      </c>
      <c r="B46">
        <f>YEAR(Original_Data[[#This Row],[Date]])</f>
        <v>2023</v>
      </c>
      <c r="C46" t="str">
        <f>TEXT(Original_Data[[#This Row],[Date]],"mmm")</f>
        <v>Sep</v>
      </c>
      <c r="D46" s="8">
        <v>5823</v>
      </c>
      <c r="E46" s="8">
        <v>10000</v>
      </c>
      <c r="F46" s="8">
        <v>3482</v>
      </c>
      <c r="G46" s="8">
        <v>1041</v>
      </c>
      <c r="H46" s="8">
        <v>1550</v>
      </c>
      <c r="I46" s="8">
        <v>1526</v>
      </c>
      <c r="J46" s="8">
        <v>6402</v>
      </c>
      <c r="K46" s="8">
        <v>0</v>
      </c>
      <c r="L46" s="8">
        <v>2074</v>
      </c>
      <c r="M46" s="8">
        <v>2213</v>
      </c>
      <c r="N46" s="8">
        <v>8908</v>
      </c>
      <c r="O46" s="8">
        <v>34111</v>
      </c>
      <c r="P46" s="8">
        <v>56000</v>
      </c>
      <c r="Q46" s="8">
        <f>Original_Data[[#This Row],[Income ]]-Original_Data[[#This Row],[Total Expenditure ]]</f>
        <v>21889</v>
      </c>
      <c r="R46" s="2">
        <f>Original_Data[[#This Row],[Surplus]]/Original_Data[[#This Row],[Income ]]</f>
        <v>0.39087499999999997</v>
      </c>
    </row>
    <row r="47" spans="1:18" x14ac:dyDescent="0.3">
      <c r="A47" s="1">
        <v>45200</v>
      </c>
      <c r="B47">
        <f>YEAR(Original_Data[[#This Row],[Date]])</f>
        <v>2023</v>
      </c>
      <c r="C47" t="str">
        <f>TEXT(Original_Data[[#This Row],[Date]],"mmm")</f>
        <v>Oct</v>
      </c>
      <c r="D47" s="8">
        <v>6352</v>
      </c>
      <c r="E47" s="8">
        <v>10000</v>
      </c>
      <c r="F47" s="8">
        <v>2337</v>
      </c>
      <c r="G47" s="8">
        <v>970</v>
      </c>
      <c r="H47" s="8">
        <v>1553</v>
      </c>
      <c r="I47" s="8">
        <v>1481</v>
      </c>
      <c r="J47" s="8">
        <v>7062</v>
      </c>
      <c r="K47" s="8">
        <v>0</v>
      </c>
      <c r="L47" s="8">
        <v>3991</v>
      </c>
      <c r="M47" s="8">
        <v>1612</v>
      </c>
      <c r="N47" s="8">
        <v>9911</v>
      </c>
      <c r="O47" s="8">
        <v>35358</v>
      </c>
      <c r="P47" s="8">
        <v>56000</v>
      </c>
      <c r="Q47" s="8">
        <f>Original_Data[[#This Row],[Income ]]-Original_Data[[#This Row],[Total Expenditure ]]</f>
        <v>20642</v>
      </c>
      <c r="R47" s="2">
        <f>Original_Data[[#This Row],[Surplus]]/Original_Data[[#This Row],[Income ]]</f>
        <v>0.36860714285714286</v>
      </c>
    </row>
    <row r="48" spans="1:18" x14ac:dyDescent="0.3">
      <c r="A48" s="1">
        <v>45231</v>
      </c>
      <c r="B48">
        <f>YEAR(Original_Data[[#This Row],[Date]])</f>
        <v>2023</v>
      </c>
      <c r="C48" t="str">
        <f>TEXT(Original_Data[[#This Row],[Date]],"mmm")</f>
        <v>Nov</v>
      </c>
      <c r="D48" s="8">
        <v>6004</v>
      </c>
      <c r="E48" s="8">
        <v>13000</v>
      </c>
      <c r="F48" s="8">
        <v>2719</v>
      </c>
      <c r="G48" s="8">
        <v>961</v>
      </c>
      <c r="H48" s="8">
        <v>2376</v>
      </c>
      <c r="I48" s="8">
        <v>2626</v>
      </c>
      <c r="J48" s="8">
        <v>6751</v>
      </c>
      <c r="K48" s="8">
        <v>0</v>
      </c>
      <c r="L48" s="8">
        <v>2491</v>
      </c>
      <c r="M48" s="8">
        <v>1883</v>
      </c>
      <c r="N48" s="8">
        <v>9517</v>
      </c>
      <c r="O48" s="8">
        <v>38811</v>
      </c>
      <c r="P48" s="8">
        <v>56000</v>
      </c>
      <c r="Q48" s="8">
        <f>Original_Data[[#This Row],[Income ]]-Original_Data[[#This Row],[Total Expenditure ]]</f>
        <v>17189</v>
      </c>
      <c r="R48" s="2">
        <f>Original_Data[[#This Row],[Surplus]]/Original_Data[[#This Row],[Income ]]</f>
        <v>0.30694642857142856</v>
      </c>
    </row>
    <row r="49" spans="1:18" x14ac:dyDescent="0.3">
      <c r="A49" s="1">
        <v>45261</v>
      </c>
      <c r="B49">
        <f>YEAR(Original_Data[[#This Row],[Date]])</f>
        <v>2023</v>
      </c>
      <c r="C49" t="str">
        <f>TEXT(Original_Data[[#This Row],[Date]],"mmm")</f>
        <v>Dec</v>
      </c>
      <c r="D49" s="8">
        <v>8983</v>
      </c>
      <c r="E49" s="8">
        <v>13000</v>
      </c>
      <c r="F49" s="8">
        <v>1768</v>
      </c>
      <c r="G49" s="8">
        <v>1069</v>
      </c>
      <c r="H49" s="8">
        <v>2135</v>
      </c>
      <c r="I49" s="8">
        <v>2155</v>
      </c>
      <c r="J49" s="8">
        <v>5714</v>
      </c>
      <c r="K49" s="8">
        <v>0</v>
      </c>
      <c r="L49" s="8">
        <v>2629</v>
      </c>
      <c r="M49" s="8">
        <v>2693</v>
      </c>
      <c r="N49" s="8">
        <v>7833</v>
      </c>
      <c r="O49" s="8">
        <v>40146</v>
      </c>
      <c r="P49" s="8">
        <v>56000</v>
      </c>
      <c r="Q49" s="8">
        <f>Original_Data[[#This Row],[Income ]]-Original_Data[[#This Row],[Total Expenditure ]]</f>
        <v>15854</v>
      </c>
      <c r="R49" s="2">
        <f>Original_Data[[#This Row],[Surplus]]/Original_Data[[#This Row],[Income ]]</f>
        <v>0.28310714285714284</v>
      </c>
    </row>
    <row r="50" spans="1:18" x14ac:dyDescent="0.3">
      <c r="A50" s="1">
        <v>45292</v>
      </c>
      <c r="B50">
        <f>YEAR(Original_Data[[#This Row],[Date]])</f>
        <v>2024</v>
      </c>
      <c r="C50" t="str">
        <f>TEXT(Original_Data[[#This Row],[Date]],"mmm")</f>
        <v>Jan</v>
      </c>
      <c r="D50" s="8">
        <v>7810</v>
      </c>
      <c r="E50" s="8">
        <v>13000</v>
      </c>
      <c r="F50" s="8">
        <v>3474</v>
      </c>
      <c r="G50" s="8">
        <v>1045</v>
      </c>
      <c r="H50" s="8">
        <v>2240</v>
      </c>
      <c r="I50" s="8">
        <v>2581</v>
      </c>
      <c r="J50" s="8">
        <v>7940</v>
      </c>
      <c r="K50" s="8">
        <v>6000</v>
      </c>
      <c r="L50" s="8">
        <v>1616</v>
      </c>
      <c r="M50" s="8">
        <v>2853</v>
      </c>
      <c r="N50" s="8">
        <v>9497</v>
      </c>
      <c r="O50" s="8">
        <v>48559</v>
      </c>
      <c r="P50" s="8">
        <v>56000</v>
      </c>
      <c r="Q50" s="8">
        <f>Original_Data[[#This Row],[Income ]]-Original_Data[[#This Row],[Total Expenditure ]]</f>
        <v>7441</v>
      </c>
      <c r="R50" s="2">
        <f>Original_Data[[#This Row],[Surplus]]/Original_Data[[#This Row],[Income ]]</f>
        <v>0.13287499999999999</v>
      </c>
    </row>
    <row r="51" spans="1:18" x14ac:dyDescent="0.3">
      <c r="A51" s="1">
        <v>45323</v>
      </c>
      <c r="B51">
        <f>YEAR(Original_Data[[#This Row],[Date]])</f>
        <v>2024</v>
      </c>
      <c r="C51" t="str">
        <f>TEXT(Original_Data[[#This Row],[Date]],"mmm")</f>
        <v>Feb</v>
      </c>
      <c r="D51" s="8">
        <v>7012</v>
      </c>
      <c r="E51" s="8">
        <v>13000</v>
      </c>
      <c r="F51" s="8">
        <v>2133</v>
      </c>
      <c r="G51" s="8">
        <v>700</v>
      </c>
      <c r="H51" s="8">
        <v>2250</v>
      </c>
      <c r="I51" s="8">
        <v>2581</v>
      </c>
      <c r="J51" s="8">
        <v>5862</v>
      </c>
      <c r="K51" s="8">
        <v>6000</v>
      </c>
      <c r="L51" s="8">
        <v>2619</v>
      </c>
      <c r="M51" s="8">
        <v>2661</v>
      </c>
      <c r="N51" s="8">
        <v>6624</v>
      </c>
      <c r="O51" s="8">
        <v>44818</v>
      </c>
      <c r="P51" s="8">
        <v>56000</v>
      </c>
      <c r="Q51" s="8">
        <f>Original_Data[[#This Row],[Income ]]-Original_Data[[#This Row],[Total Expenditure ]]</f>
        <v>11182</v>
      </c>
      <c r="R51" s="2">
        <f>Original_Data[[#This Row],[Surplus]]/Original_Data[[#This Row],[Income ]]</f>
        <v>0.19967857142857143</v>
      </c>
    </row>
    <row r="52" spans="1:18" x14ac:dyDescent="0.3">
      <c r="A52" s="1">
        <v>45352</v>
      </c>
      <c r="B52">
        <f>YEAR(Original_Data[[#This Row],[Date]])</f>
        <v>2024</v>
      </c>
      <c r="C52" t="str">
        <f>TEXT(Original_Data[[#This Row],[Date]],"mmm")</f>
        <v>Mar</v>
      </c>
      <c r="D52" s="8">
        <v>6896</v>
      </c>
      <c r="E52" s="8">
        <v>13000</v>
      </c>
      <c r="F52" s="8">
        <v>2712</v>
      </c>
      <c r="G52" s="8">
        <v>1186</v>
      </c>
      <c r="H52" s="8">
        <v>2203</v>
      </c>
      <c r="I52" s="8">
        <v>2795</v>
      </c>
      <c r="J52" s="8">
        <v>7312</v>
      </c>
      <c r="K52" s="8">
        <v>6000</v>
      </c>
      <c r="L52" s="8">
        <v>2970</v>
      </c>
      <c r="M52" s="8">
        <v>1580</v>
      </c>
      <c r="N52" s="8">
        <v>7949</v>
      </c>
      <c r="O52" s="8">
        <v>46654</v>
      </c>
      <c r="P52" s="8">
        <v>56000</v>
      </c>
      <c r="Q52" s="8">
        <f>Original_Data[[#This Row],[Income ]]-Original_Data[[#This Row],[Total Expenditure ]]</f>
        <v>9346</v>
      </c>
      <c r="R52" s="2">
        <f>Original_Data[[#This Row],[Surplus]]/Original_Data[[#This Row],[Income ]]</f>
        <v>0.16689285714285715</v>
      </c>
    </row>
    <row r="53" spans="1:18" x14ac:dyDescent="0.3">
      <c r="A53" s="1">
        <v>45383</v>
      </c>
      <c r="B53">
        <f>YEAR(Original_Data[[#This Row],[Date]])</f>
        <v>2024</v>
      </c>
      <c r="C53" t="str">
        <f>TEXT(Original_Data[[#This Row],[Date]],"mmm")</f>
        <v>Apr</v>
      </c>
      <c r="D53" s="8">
        <v>6153</v>
      </c>
      <c r="E53" s="8">
        <v>13000</v>
      </c>
      <c r="F53" s="8">
        <v>2496</v>
      </c>
      <c r="G53" s="8">
        <v>785</v>
      </c>
      <c r="H53" s="8">
        <v>2196</v>
      </c>
      <c r="I53" s="8">
        <v>2958</v>
      </c>
      <c r="J53" s="8">
        <v>6701</v>
      </c>
      <c r="K53" s="8">
        <v>6000</v>
      </c>
      <c r="L53" s="8">
        <v>2743</v>
      </c>
      <c r="M53" s="8">
        <v>2092</v>
      </c>
      <c r="N53" s="8">
        <v>8393</v>
      </c>
      <c r="O53" s="8">
        <v>45124</v>
      </c>
      <c r="P53" s="8">
        <v>64000</v>
      </c>
      <c r="Q53" s="8">
        <f>Original_Data[[#This Row],[Income ]]-Original_Data[[#This Row],[Total Expenditure ]]</f>
        <v>18876</v>
      </c>
      <c r="R53" s="2">
        <f>Original_Data[[#This Row],[Surplus]]/Original_Data[[#This Row],[Income ]]</f>
        <v>0.29493750000000002</v>
      </c>
    </row>
    <row r="54" spans="1:18" x14ac:dyDescent="0.3">
      <c r="A54" s="1">
        <v>45413</v>
      </c>
      <c r="B54">
        <f>YEAR(Original_Data[[#This Row],[Date]])</f>
        <v>2024</v>
      </c>
      <c r="C54" t="str">
        <f>TEXT(Original_Data[[#This Row],[Date]],"mmm")</f>
        <v>May</v>
      </c>
      <c r="D54" s="8">
        <v>6957</v>
      </c>
      <c r="E54" s="8">
        <v>13000</v>
      </c>
      <c r="F54" s="8">
        <v>1952</v>
      </c>
      <c r="G54" s="8">
        <v>903</v>
      </c>
      <c r="H54" s="8">
        <v>2411</v>
      </c>
      <c r="I54" s="8">
        <v>2511</v>
      </c>
      <c r="J54" s="8">
        <v>7973</v>
      </c>
      <c r="K54" s="8">
        <v>6000</v>
      </c>
      <c r="L54" s="8">
        <v>3765</v>
      </c>
      <c r="M54" s="8">
        <v>1473</v>
      </c>
      <c r="N54" s="8">
        <v>9430</v>
      </c>
      <c r="O54" s="8">
        <v>46945</v>
      </c>
      <c r="P54" s="8">
        <v>64000</v>
      </c>
      <c r="Q54" s="8">
        <f>Original_Data[[#This Row],[Income ]]-Original_Data[[#This Row],[Total Expenditure ]]</f>
        <v>17055</v>
      </c>
      <c r="R54" s="2">
        <f>Original_Data[[#This Row],[Surplus]]/Original_Data[[#This Row],[Income ]]</f>
        <v>0.266484375</v>
      </c>
    </row>
    <row r="55" spans="1:18" x14ac:dyDescent="0.3">
      <c r="A55" s="1">
        <v>45444</v>
      </c>
      <c r="B55">
        <f>YEAR(Original_Data[[#This Row],[Date]])</f>
        <v>2024</v>
      </c>
      <c r="C55" t="str">
        <f>TEXT(Original_Data[[#This Row],[Date]],"mmm")</f>
        <v>Jun</v>
      </c>
      <c r="D55" s="8">
        <v>7312</v>
      </c>
      <c r="E55" s="8">
        <v>13000</v>
      </c>
      <c r="F55" s="8">
        <v>3257</v>
      </c>
      <c r="G55" s="8">
        <v>1056</v>
      </c>
      <c r="H55" s="8">
        <v>1522</v>
      </c>
      <c r="I55" s="8">
        <v>2777</v>
      </c>
      <c r="J55" s="8">
        <v>9437</v>
      </c>
      <c r="K55" s="8">
        <v>6000</v>
      </c>
      <c r="L55" s="8">
        <v>3285</v>
      </c>
      <c r="M55" s="8">
        <v>1521</v>
      </c>
      <c r="N55" s="8">
        <v>12074</v>
      </c>
      <c r="O55" s="8">
        <v>49167</v>
      </c>
      <c r="P55" s="8">
        <v>64000</v>
      </c>
      <c r="Q55" s="8">
        <f>Original_Data[[#This Row],[Income ]]-Original_Data[[#This Row],[Total Expenditure ]]</f>
        <v>14833</v>
      </c>
      <c r="R55" s="2">
        <f>Original_Data[[#This Row],[Surplus]]/Original_Data[[#This Row],[Income ]]</f>
        <v>0.231765625</v>
      </c>
    </row>
    <row r="56" spans="1:18" x14ac:dyDescent="0.3">
      <c r="A56" s="1">
        <v>45474</v>
      </c>
      <c r="B56">
        <f>YEAR(Original_Data[[#This Row],[Date]])</f>
        <v>2024</v>
      </c>
      <c r="C56" t="str">
        <f>TEXT(Original_Data[[#This Row],[Date]],"mmm")</f>
        <v>Jul</v>
      </c>
      <c r="D56" s="8">
        <v>8809</v>
      </c>
      <c r="E56" s="8">
        <v>13000</v>
      </c>
      <c r="F56" s="8">
        <v>3131</v>
      </c>
      <c r="G56" s="8">
        <v>956</v>
      </c>
      <c r="H56" s="8">
        <v>1824</v>
      </c>
      <c r="I56" s="8">
        <v>1941</v>
      </c>
      <c r="J56" s="8">
        <v>6625</v>
      </c>
      <c r="K56" s="8">
        <v>6000</v>
      </c>
      <c r="L56" s="8">
        <v>2015</v>
      </c>
      <c r="M56" s="8">
        <v>2039</v>
      </c>
      <c r="N56" s="8">
        <v>10511</v>
      </c>
      <c r="O56" s="8">
        <v>46340</v>
      </c>
      <c r="P56" s="8">
        <v>64000</v>
      </c>
      <c r="Q56" s="8">
        <f>Original_Data[[#This Row],[Income ]]-Original_Data[[#This Row],[Total Expenditure ]]</f>
        <v>17660</v>
      </c>
      <c r="R56" s="2">
        <f>Original_Data[[#This Row],[Surplus]]/Original_Data[[#This Row],[Income ]]</f>
        <v>0.2759375</v>
      </c>
    </row>
    <row r="57" spans="1:18" x14ac:dyDescent="0.3">
      <c r="A57" s="1">
        <v>45505</v>
      </c>
      <c r="B57">
        <f>YEAR(Original_Data[[#This Row],[Date]])</f>
        <v>2024</v>
      </c>
      <c r="C57" t="str">
        <f>TEXT(Original_Data[[#This Row],[Date]],"mmm")</f>
        <v>Aug</v>
      </c>
      <c r="D57" s="8">
        <v>6496</v>
      </c>
      <c r="E57" s="8">
        <v>13000</v>
      </c>
      <c r="F57" s="8">
        <v>1659</v>
      </c>
      <c r="G57" s="8">
        <v>1174</v>
      </c>
      <c r="H57" s="8">
        <v>2351</v>
      </c>
      <c r="I57" s="8">
        <v>2395</v>
      </c>
      <c r="J57" s="8">
        <v>7642</v>
      </c>
      <c r="K57" s="8">
        <v>6000</v>
      </c>
      <c r="L57" s="8">
        <v>3187</v>
      </c>
      <c r="M57" s="8">
        <v>2931</v>
      </c>
      <c r="N57" s="8">
        <v>10517</v>
      </c>
      <c r="O57" s="8">
        <v>46835</v>
      </c>
      <c r="P57" s="8">
        <v>64000</v>
      </c>
      <c r="Q57" s="8">
        <f>Original_Data[[#This Row],[Income ]]-Original_Data[[#This Row],[Total Expenditure ]]</f>
        <v>17165</v>
      </c>
      <c r="R57" s="2">
        <f>Original_Data[[#This Row],[Surplus]]/Original_Data[[#This Row],[Income ]]</f>
        <v>0.26820312499999999</v>
      </c>
    </row>
    <row r="58" spans="1:18" x14ac:dyDescent="0.3">
      <c r="A58" s="1">
        <v>45536</v>
      </c>
      <c r="B58">
        <f>YEAR(Original_Data[[#This Row],[Date]])</f>
        <v>2024</v>
      </c>
      <c r="C58" t="str">
        <f>TEXT(Original_Data[[#This Row],[Date]],"mmm")</f>
        <v>Sep</v>
      </c>
      <c r="D58" s="8">
        <v>6956</v>
      </c>
      <c r="E58" s="8">
        <v>13000</v>
      </c>
      <c r="F58" s="8">
        <v>2950</v>
      </c>
      <c r="G58" s="8">
        <v>800</v>
      </c>
      <c r="H58" s="8">
        <v>1767</v>
      </c>
      <c r="I58" s="8">
        <v>2190</v>
      </c>
      <c r="J58" s="8">
        <v>9297</v>
      </c>
      <c r="K58" s="8">
        <v>6000</v>
      </c>
      <c r="L58" s="8">
        <v>2940</v>
      </c>
      <c r="M58" s="8">
        <v>2191</v>
      </c>
      <c r="N58" s="8">
        <v>7653</v>
      </c>
      <c r="O58" s="8">
        <v>48091</v>
      </c>
      <c r="P58" s="8">
        <v>64000</v>
      </c>
      <c r="Q58" s="8">
        <f>Original_Data[[#This Row],[Income ]]-Original_Data[[#This Row],[Total Expenditure ]]</f>
        <v>15909</v>
      </c>
      <c r="R58" s="2">
        <f>Original_Data[[#This Row],[Surplus]]/Original_Data[[#This Row],[Income ]]</f>
        <v>0.24857812500000001</v>
      </c>
    </row>
    <row r="59" spans="1:18" x14ac:dyDescent="0.3">
      <c r="A59" s="1">
        <v>45566</v>
      </c>
      <c r="B59">
        <f>YEAR(Original_Data[[#This Row],[Date]])</f>
        <v>2024</v>
      </c>
      <c r="C59" t="str">
        <f>TEXT(Original_Data[[#This Row],[Date]],"mmm")</f>
        <v>Oct</v>
      </c>
      <c r="D59" s="8">
        <v>8444</v>
      </c>
      <c r="E59" s="8">
        <v>13000</v>
      </c>
      <c r="F59" s="8">
        <v>3130</v>
      </c>
      <c r="G59" s="8">
        <v>1001</v>
      </c>
      <c r="H59" s="8">
        <v>2397</v>
      </c>
      <c r="I59" s="8">
        <v>1511</v>
      </c>
      <c r="J59" s="8">
        <v>7476</v>
      </c>
      <c r="K59" s="8">
        <v>6000</v>
      </c>
      <c r="L59" s="8">
        <v>2253</v>
      </c>
      <c r="M59" s="8">
        <v>1034</v>
      </c>
      <c r="N59" s="8">
        <v>10596</v>
      </c>
      <c r="O59" s="8">
        <v>46246</v>
      </c>
      <c r="P59" s="8">
        <v>64000</v>
      </c>
      <c r="Q59" s="8">
        <f>Original_Data[[#This Row],[Income ]]-Original_Data[[#This Row],[Total Expenditure ]]</f>
        <v>17754</v>
      </c>
      <c r="R59" s="2">
        <f>Original_Data[[#This Row],[Surplus]]/Original_Data[[#This Row],[Income ]]</f>
        <v>0.27740625000000002</v>
      </c>
    </row>
    <row r="60" spans="1:18" x14ac:dyDescent="0.3">
      <c r="A60" s="1">
        <v>45597</v>
      </c>
      <c r="B60">
        <f>YEAR(Original_Data[[#This Row],[Date]])</f>
        <v>2024</v>
      </c>
      <c r="C60" t="str">
        <f>TEXT(Original_Data[[#This Row],[Date]],"mmm")</f>
        <v>Nov</v>
      </c>
      <c r="D60" s="8">
        <v>8652</v>
      </c>
      <c r="E60" s="8">
        <v>13000</v>
      </c>
      <c r="F60" s="8">
        <v>3125</v>
      </c>
      <c r="G60" s="8">
        <v>1117</v>
      </c>
      <c r="H60" s="8">
        <v>1614</v>
      </c>
      <c r="I60" s="8">
        <v>2469</v>
      </c>
      <c r="J60" s="8">
        <v>6778</v>
      </c>
      <c r="K60" s="8">
        <v>6000</v>
      </c>
      <c r="L60" s="8">
        <v>2116</v>
      </c>
      <c r="M60" s="8">
        <v>2926</v>
      </c>
      <c r="N60" s="8">
        <v>10859</v>
      </c>
      <c r="O60" s="8">
        <v>47797</v>
      </c>
      <c r="P60" s="8">
        <v>64000</v>
      </c>
      <c r="Q60" s="8">
        <f>Original_Data[[#This Row],[Income ]]-Original_Data[[#This Row],[Total Expenditure ]]</f>
        <v>16203</v>
      </c>
      <c r="R60" s="2">
        <f>Original_Data[[#This Row],[Surplus]]/Original_Data[[#This Row],[Income ]]</f>
        <v>0.25317187499999999</v>
      </c>
    </row>
    <row r="61" spans="1:18" x14ac:dyDescent="0.3">
      <c r="A61" s="1">
        <v>45627</v>
      </c>
      <c r="B61">
        <f>YEAR(Original_Data[[#This Row],[Date]])</f>
        <v>2024</v>
      </c>
      <c r="C61" t="str">
        <f>TEXT(Original_Data[[#This Row],[Date]],"mmm")</f>
        <v>Dec</v>
      </c>
      <c r="D61" s="8">
        <v>7516</v>
      </c>
      <c r="E61" s="8">
        <v>13000</v>
      </c>
      <c r="F61" s="8">
        <v>1912</v>
      </c>
      <c r="G61" s="8">
        <v>1075</v>
      </c>
      <c r="H61" s="8">
        <v>1919</v>
      </c>
      <c r="I61" s="8">
        <v>2598</v>
      </c>
      <c r="J61" s="8">
        <v>9496</v>
      </c>
      <c r="K61" s="8">
        <v>6000</v>
      </c>
      <c r="L61" s="8">
        <v>2228</v>
      </c>
      <c r="M61" s="8">
        <v>2300</v>
      </c>
      <c r="N61" s="8">
        <v>9907</v>
      </c>
      <c r="O61" s="8">
        <v>48044</v>
      </c>
      <c r="P61" s="8">
        <v>64000</v>
      </c>
      <c r="Q61" s="8">
        <f>Original_Data[[#This Row],[Income ]]-Original_Data[[#This Row],[Total Expenditure ]]</f>
        <v>15956</v>
      </c>
      <c r="R61" s="2">
        <f>Original_Data[[#This Row],[Surplus]]/Original_Data[[#This Row],[Income ]]</f>
        <v>0.24931249999999999</v>
      </c>
    </row>
    <row r="62" spans="1:18" x14ac:dyDescent="0.3">
      <c r="A62" s="1">
        <v>45658</v>
      </c>
      <c r="B62">
        <f>YEAR(Original_Data[[#This Row],[Date]])</f>
        <v>2025</v>
      </c>
      <c r="C62" t="str">
        <f>TEXT(Original_Data[[#This Row],[Date]],"mmm")</f>
        <v>Jan</v>
      </c>
      <c r="D62" s="8">
        <v>7892</v>
      </c>
      <c r="E62" s="8">
        <v>13000</v>
      </c>
      <c r="F62" s="8">
        <v>2419</v>
      </c>
      <c r="G62" s="8">
        <v>891</v>
      </c>
      <c r="H62" s="8">
        <v>2238</v>
      </c>
      <c r="I62" s="8">
        <v>1956</v>
      </c>
      <c r="J62" s="8">
        <v>7590</v>
      </c>
      <c r="K62" s="8">
        <v>6000</v>
      </c>
      <c r="L62" s="8">
        <v>2622</v>
      </c>
      <c r="M62" s="8">
        <v>2571</v>
      </c>
      <c r="N62" s="8">
        <v>11369</v>
      </c>
      <c r="O62" s="8">
        <v>47179</v>
      </c>
      <c r="P62" s="8">
        <v>64000</v>
      </c>
      <c r="Q62" s="8">
        <f>Original_Data[[#This Row],[Income ]]-Original_Data[[#This Row],[Total Expenditure ]]</f>
        <v>16821</v>
      </c>
      <c r="R62" s="2">
        <f>Original_Data[[#This Row],[Surplus]]/Original_Data[[#This Row],[Income ]]</f>
        <v>0.26282812500000002</v>
      </c>
    </row>
    <row r="63" spans="1:18" x14ac:dyDescent="0.3">
      <c r="A63" s="1">
        <v>45689</v>
      </c>
      <c r="B63">
        <f>YEAR(Original_Data[[#This Row],[Date]])</f>
        <v>2025</v>
      </c>
      <c r="C63" t="str">
        <f>TEXT(Original_Data[[#This Row],[Date]],"mmm")</f>
        <v>Feb</v>
      </c>
      <c r="D63" s="8">
        <v>7687</v>
      </c>
      <c r="E63" s="8">
        <v>13000</v>
      </c>
      <c r="F63" s="8">
        <v>2713</v>
      </c>
      <c r="G63" s="8">
        <v>923</v>
      </c>
      <c r="H63" s="8">
        <v>1536</v>
      </c>
      <c r="I63" s="8">
        <v>2162</v>
      </c>
      <c r="J63" s="8">
        <v>8814</v>
      </c>
      <c r="K63" s="8">
        <v>0</v>
      </c>
      <c r="L63" s="8">
        <v>3048</v>
      </c>
      <c r="M63" s="8">
        <v>1278</v>
      </c>
      <c r="N63" s="8">
        <v>7059</v>
      </c>
      <c r="O63" s="8">
        <v>41161</v>
      </c>
      <c r="P63" s="8">
        <v>64000</v>
      </c>
      <c r="Q63" s="8">
        <f>Original_Data[[#This Row],[Income ]]-Original_Data[[#This Row],[Total Expenditure ]]</f>
        <v>22839</v>
      </c>
      <c r="R63" s="2">
        <f>Original_Data[[#This Row],[Surplus]]/Original_Data[[#This Row],[Income ]]</f>
        <v>0.35685937499999998</v>
      </c>
    </row>
    <row r="64" spans="1:18" x14ac:dyDescent="0.3">
      <c r="A64" s="1">
        <v>45717</v>
      </c>
      <c r="B64">
        <f>YEAR(Original_Data[[#This Row],[Date]])</f>
        <v>2025</v>
      </c>
      <c r="C64" t="str">
        <f>TEXT(Original_Data[[#This Row],[Date]],"mmm")</f>
        <v>Mar</v>
      </c>
      <c r="D64" s="8">
        <v>7296</v>
      </c>
      <c r="E64" s="8">
        <v>13000</v>
      </c>
      <c r="F64" s="8">
        <v>2095</v>
      </c>
      <c r="G64" s="8">
        <v>1067</v>
      </c>
      <c r="H64" s="8">
        <v>2228</v>
      </c>
      <c r="I64" s="8">
        <v>1561</v>
      </c>
      <c r="J64" s="8">
        <v>9265</v>
      </c>
      <c r="K64" s="8">
        <v>0</v>
      </c>
      <c r="L64" s="8">
        <v>2865</v>
      </c>
      <c r="M64" s="8">
        <v>1396</v>
      </c>
      <c r="N64" s="8">
        <v>8890</v>
      </c>
      <c r="O64" s="8">
        <v>40773</v>
      </c>
      <c r="P64" s="8">
        <v>64000</v>
      </c>
      <c r="Q64" s="8">
        <f>Original_Data[[#This Row],[Income ]]-Original_Data[[#This Row],[Total Expenditure ]]</f>
        <v>23227</v>
      </c>
      <c r="R64" s="2">
        <f>Original_Data[[#This Row],[Surplus]]/Original_Data[[#This Row],[Income ]]</f>
        <v>0.362921875</v>
      </c>
    </row>
    <row r="65" spans="1:18" x14ac:dyDescent="0.3">
      <c r="A65" s="1">
        <v>45748</v>
      </c>
      <c r="B65">
        <f>YEAR(Original_Data[[#This Row],[Date]])</f>
        <v>2025</v>
      </c>
      <c r="C65" t="str">
        <f>TEXT(Original_Data[[#This Row],[Date]],"mmm")</f>
        <v>Apr</v>
      </c>
      <c r="D65" s="8">
        <v>6395</v>
      </c>
      <c r="E65" s="8">
        <v>13000</v>
      </c>
      <c r="F65" s="8">
        <v>2756</v>
      </c>
      <c r="G65" s="8">
        <v>1102</v>
      </c>
      <c r="H65" s="8">
        <v>1575</v>
      </c>
      <c r="I65" s="8">
        <v>1944</v>
      </c>
      <c r="J65" s="8">
        <v>9461</v>
      </c>
      <c r="K65" s="8">
        <v>0</v>
      </c>
      <c r="L65" s="8">
        <v>1764</v>
      </c>
      <c r="M65" s="8">
        <v>1454</v>
      </c>
      <c r="N65" s="8">
        <v>10731</v>
      </c>
      <c r="O65" s="8">
        <v>39451</v>
      </c>
      <c r="P65" s="8">
        <v>64000</v>
      </c>
      <c r="Q65" s="8">
        <f>Original_Data[[#This Row],[Income ]]-Original_Data[[#This Row],[Total Expenditure ]]</f>
        <v>24549</v>
      </c>
      <c r="R65" s="2">
        <f>Original_Data[[#This Row],[Surplus]]/Original_Data[[#This Row],[Income ]]</f>
        <v>0.38357812499999999</v>
      </c>
    </row>
    <row r="66" spans="1:18" x14ac:dyDescent="0.3">
      <c r="A66" s="1">
        <v>45778</v>
      </c>
      <c r="B66">
        <f>YEAR(Original_Data[[#This Row],[Date]])</f>
        <v>2025</v>
      </c>
      <c r="C66" t="str">
        <f>TEXT(Original_Data[[#This Row],[Date]],"mmm")</f>
        <v>May</v>
      </c>
      <c r="D66" s="8">
        <v>6850</v>
      </c>
      <c r="E66" s="8">
        <v>13000</v>
      </c>
      <c r="F66" s="8">
        <v>1643</v>
      </c>
      <c r="G66" s="8">
        <v>1072</v>
      </c>
      <c r="H66" s="8">
        <v>1568</v>
      </c>
      <c r="I66" s="8">
        <v>2890</v>
      </c>
      <c r="J66" s="8">
        <v>8171</v>
      </c>
      <c r="K66" s="8">
        <v>0</v>
      </c>
      <c r="L66" s="8">
        <v>1895</v>
      </c>
      <c r="M66" s="8">
        <v>2048</v>
      </c>
      <c r="N66" s="8">
        <v>7761</v>
      </c>
      <c r="O66" s="8">
        <v>39137</v>
      </c>
      <c r="P66" s="8">
        <v>64000</v>
      </c>
      <c r="Q66" s="8">
        <f>Original_Data[[#This Row],[Income ]]-Original_Data[[#This Row],[Total Expenditure ]]</f>
        <v>24863</v>
      </c>
      <c r="R66" s="2">
        <f>Original_Data[[#This Row],[Surplus]]/Original_Data[[#This Row],[Income ]]</f>
        <v>0.38848437499999999</v>
      </c>
    </row>
    <row r="67" spans="1:18" x14ac:dyDescent="0.3">
      <c r="A67" s="1">
        <v>45809</v>
      </c>
      <c r="B67">
        <f>YEAR(Original_Data[[#This Row],[Date]])</f>
        <v>2025</v>
      </c>
      <c r="C67" t="str">
        <f>TEXT(Original_Data[[#This Row],[Date]],"mmm")</f>
        <v>Jun</v>
      </c>
      <c r="D67" s="8">
        <v>7167</v>
      </c>
      <c r="E67" s="8">
        <v>13000</v>
      </c>
      <c r="F67" s="8">
        <v>2562</v>
      </c>
      <c r="G67" s="8">
        <v>808</v>
      </c>
      <c r="H67" s="8">
        <v>2192</v>
      </c>
      <c r="I67" s="8">
        <v>2068</v>
      </c>
      <c r="J67" s="8">
        <v>6584</v>
      </c>
      <c r="K67" s="8">
        <v>0</v>
      </c>
      <c r="L67" s="8">
        <v>2565</v>
      </c>
      <c r="M67" s="8">
        <v>2209</v>
      </c>
      <c r="N67" s="8">
        <v>9916</v>
      </c>
      <c r="O67" s="8">
        <v>39155</v>
      </c>
      <c r="P67" s="8">
        <v>64000</v>
      </c>
      <c r="Q67" s="8">
        <f>Original_Data[[#This Row],[Income ]]-Original_Data[[#This Row],[Total Expenditure ]]</f>
        <v>24845</v>
      </c>
      <c r="R67" s="2">
        <f>Original_Data[[#This Row],[Surplus]]/Original_Data[[#This Row],[Income ]]</f>
        <v>0.38820312499999998</v>
      </c>
    </row>
    <row r="68" spans="1:18" x14ac:dyDescent="0.3">
      <c r="A68" s="1">
        <v>45839</v>
      </c>
      <c r="B68">
        <f>YEAR(Original_Data[[#This Row],[Date]])</f>
        <v>2025</v>
      </c>
      <c r="C68" t="str">
        <f>TEXT(Original_Data[[#This Row],[Date]],"mmm")</f>
        <v>Jul</v>
      </c>
      <c r="D68" s="8">
        <v>7156</v>
      </c>
      <c r="E68" s="8">
        <v>13000</v>
      </c>
      <c r="F68" s="8">
        <v>2738</v>
      </c>
      <c r="G68" s="8">
        <v>920</v>
      </c>
      <c r="H68" s="8">
        <v>1734</v>
      </c>
      <c r="I68" s="8">
        <v>2686</v>
      </c>
      <c r="J68" s="8">
        <v>8601</v>
      </c>
      <c r="K68" s="8">
        <v>0</v>
      </c>
      <c r="L68" s="8">
        <v>2250</v>
      </c>
      <c r="M68" s="8">
        <v>1587</v>
      </c>
      <c r="N68" s="8">
        <v>11756</v>
      </c>
      <c r="O68" s="8">
        <v>40672</v>
      </c>
      <c r="P68" s="8">
        <v>64000</v>
      </c>
      <c r="Q68" s="8">
        <f>Original_Data[[#This Row],[Income ]]-Original_Data[[#This Row],[Total Expenditure ]]</f>
        <v>23328</v>
      </c>
      <c r="R68" s="2">
        <f>Original_Data[[#This Row],[Surplus]]/Original_Data[[#This Row],[Income ]]</f>
        <v>0.36449999999999999</v>
      </c>
    </row>
    <row r="69" spans="1:18" x14ac:dyDescent="0.3">
      <c r="A69" s="1">
        <v>45870</v>
      </c>
      <c r="B69">
        <f>YEAR(Original_Data[[#This Row],[Date]])</f>
        <v>2025</v>
      </c>
      <c r="C69" t="str">
        <f>TEXT(Original_Data[[#This Row],[Date]],"mmm")</f>
        <v>Aug</v>
      </c>
      <c r="D69" s="8">
        <v>8960</v>
      </c>
      <c r="E69" s="8">
        <v>13000</v>
      </c>
      <c r="F69" s="8">
        <v>2753</v>
      </c>
      <c r="G69" s="8">
        <v>706</v>
      </c>
      <c r="H69" s="8">
        <v>1673</v>
      </c>
      <c r="I69" s="8">
        <v>2776</v>
      </c>
      <c r="J69" s="8">
        <v>6632</v>
      </c>
      <c r="K69" s="8">
        <v>0</v>
      </c>
      <c r="L69" s="8">
        <v>3176</v>
      </c>
      <c r="M69" s="8">
        <v>2191</v>
      </c>
      <c r="N69" s="8">
        <v>11659</v>
      </c>
      <c r="O69" s="8">
        <v>41867</v>
      </c>
      <c r="P69" s="8">
        <v>64000</v>
      </c>
      <c r="Q69" s="8">
        <f>Original_Data[[#This Row],[Income ]]-Original_Data[[#This Row],[Total Expenditure ]]</f>
        <v>22133</v>
      </c>
      <c r="R69" s="2">
        <f>Original_Data[[#This Row],[Surplus]]/Original_Data[[#This Row],[Income ]]</f>
        <v>0.34582812499999999</v>
      </c>
    </row>
    <row r="70" spans="1:18" x14ac:dyDescent="0.3">
      <c r="A70" s="1">
        <v>45901</v>
      </c>
      <c r="B70">
        <f>YEAR(Original_Data[[#This Row],[Date]])</f>
        <v>2025</v>
      </c>
      <c r="C70" t="str">
        <f>TEXT(Original_Data[[#This Row],[Date]],"mmm")</f>
        <v>Sep</v>
      </c>
      <c r="D70" s="8">
        <v>8681</v>
      </c>
      <c r="E70" s="8">
        <v>13000</v>
      </c>
      <c r="F70" s="8">
        <v>3040</v>
      </c>
      <c r="G70" s="8">
        <v>728</v>
      </c>
      <c r="H70" s="8">
        <v>1664</v>
      </c>
      <c r="I70" s="8">
        <v>2717</v>
      </c>
      <c r="J70" s="8">
        <v>8260</v>
      </c>
      <c r="K70" s="8">
        <v>0</v>
      </c>
      <c r="L70" s="8">
        <v>2945</v>
      </c>
      <c r="M70" s="8">
        <v>1338</v>
      </c>
      <c r="N70" s="8">
        <v>11924</v>
      </c>
      <c r="O70" s="8">
        <v>42373</v>
      </c>
      <c r="P70" s="8">
        <v>64000</v>
      </c>
      <c r="Q70" s="8">
        <f>Original_Data[[#This Row],[Income ]]-Original_Data[[#This Row],[Total Expenditure ]]</f>
        <v>21627</v>
      </c>
      <c r="R70" s="2">
        <f>Original_Data[[#This Row],[Surplus]]/Original_Data[[#This Row],[Income ]]</f>
        <v>0.33792187499999998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BF5B-FA50-4A12-BB7C-7989725FE55F}">
  <dimension ref="A1:J691"/>
  <sheetViews>
    <sheetView workbookViewId="0">
      <selection activeCell="I10" sqref="I10"/>
    </sheetView>
  </sheetViews>
  <sheetFormatPr defaultRowHeight="14.4" x14ac:dyDescent="0.3"/>
  <cols>
    <col min="1" max="1" width="9.5546875" bestFit="1" customWidth="1"/>
    <col min="2" max="2" width="6.88671875" bestFit="1" customWidth="1"/>
    <col min="3" max="3" width="9" bestFit="1" customWidth="1"/>
    <col min="4" max="4" width="10" style="8" bestFit="1" customWidth="1"/>
    <col min="5" max="5" width="18.5546875" style="8" bestFit="1" customWidth="1"/>
    <col min="6" max="6" width="10" style="8" bestFit="1" customWidth="1"/>
    <col min="7" max="7" width="9.44140625" style="8" bestFit="1" customWidth="1"/>
    <col min="8" max="8" width="13.6640625" bestFit="1" customWidth="1"/>
    <col min="9" max="9" width="20.5546875" bestFit="1" customWidth="1"/>
    <col min="10" max="10" width="10.109375" style="8" bestFit="1" customWidth="1"/>
  </cols>
  <sheetData>
    <row r="1" spans="1:10" x14ac:dyDescent="0.3">
      <c r="A1" t="s">
        <v>37</v>
      </c>
      <c r="B1" t="s">
        <v>36</v>
      </c>
      <c r="C1" t="s">
        <v>0</v>
      </c>
      <c r="D1" s="8" t="s">
        <v>8</v>
      </c>
      <c r="E1" s="8" t="s">
        <v>12</v>
      </c>
      <c r="F1" s="8" t="s">
        <v>13</v>
      </c>
      <c r="G1" s="8" t="s">
        <v>16</v>
      </c>
      <c r="H1" t="s">
        <v>17</v>
      </c>
      <c r="I1" t="s">
        <v>38</v>
      </c>
      <c r="J1" s="8" t="s">
        <v>39</v>
      </c>
    </row>
    <row r="2" spans="1:10" x14ac:dyDescent="0.3">
      <c r="A2" s="1">
        <v>43831</v>
      </c>
      <c r="B2">
        <v>2020</v>
      </c>
      <c r="C2" t="str">
        <f>TEXT(Transformed_Data\[[#This Row],[Date]],"mmm")</f>
        <v>Jan</v>
      </c>
      <c r="D2" s="8">
        <v>4232</v>
      </c>
      <c r="E2" s="8">
        <v>30363</v>
      </c>
      <c r="F2" s="8">
        <v>40000</v>
      </c>
      <c r="G2" s="8">
        <v>9637</v>
      </c>
      <c r="H2" s="2">
        <v>0.240925</v>
      </c>
      <c r="I2" t="s">
        <v>1</v>
      </c>
      <c r="J2" s="8">
        <v>4860</v>
      </c>
    </row>
    <row r="3" spans="1:10" x14ac:dyDescent="0.3">
      <c r="A3" s="1">
        <v>43831</v>
      </c>
      <c r="B3">
        <v>2020</v>
      </c>
      <c r="C3" t="str">
        <f>TEXT(Transformed_Data\[[#This Row],[Date]],"mmm")</f>
        <v>Jan</v>
      </c>
      <c r="D3" s="8">
        <v>4232</v>
      </c>
      <c r="E3" s="8">
        <v>30363</v>
      </c>
      <c r="F3" s="8">
        <v>40000</v>
      </c>
      <c r="G3" s="8">
        <v>9637</v>
      </c>
      <c r="H3" s="2">
        <v>0.240925</v>
      </c>
      <c r="I3" t="s">
        <v>2</v>
      </c>
      <c r="J3" s="8">
        <v>10000</v>
      </c>
    </row>
    <row r="4" spans="1:10" x14ac:dyDescent="0.3">
      <c r="A4" s="1">
        <v>43831</v>
      </c>
      <c r="B4">
        <v>2020</v>
      </c>
      <c r="C4" t="str">
        <f>TEXT(Transformed_Data\[[#This Row],[Date]],"mmm")</f>
        <v>Jan</v>
      </c>
      <c r="D4" s="8">
        <v>4232</v>
      </c>
      <c r="E4" s="8">
        <v>30363</v>
      </c>
      <c r="F4" s="8">
        <v>40000</v>
      </c>
      <c r="G4" s="8">
        <v>9637</v>
      </c>
      <c r="H4" s="2">
        <v>0.240925</v>
      </c>
      <c r="I4" t="s">
        <v>3</v>
      </c>
      <c r="J4" s="8">
        <v>2595</v>
      </c>
    </row>
    <row r="5" spans="1:10" x14ac:dyDescent="0.3">
      <c r="A5" s="1">
        <v>43831</v>
      </c>
      <c r="B5">
        <v>2020</v>
      </c>
      <c r="C5" t="str">
        <f>TEXT(Transformed_Data\[[#This Row],[Date]],"mmm")</f>
        <v>Jan</v>
      </c>
      <c r="D5" s="8">
        <v>4232</v>
      </c>
      <c r="E5" s="8">
        <v>30363</v>
      </c>
      <c r="F5" s="8">
        <v>40000</v>
      </c>
      <c r="G5" s="8">
        <v>9637</v>
      </c>
      <c r="H5" s="2">
        <v>0.240925</v>
      </c>
      <c r="I5" t="s">
        <v>4</v>
      </c>
      <c r="J5" s="8">
        <v>888</v>
      </c>
    </row>
    <row r="6" spans="1:10" x14ac:dyDescent="0.3">
      <c r="A6" s="1">
        <v>43831</v>
      </c>
      <c r="B6">
        <v>2020</v>
      </c>
      <c r="C6" t="str">
        <f>TEXT(Transformed_Data\[[#This Row],[Date]],"mmm")</f>
        <v>Jan</v>
      </c>
      <c r="D6" s="8">
        <v>4232</v>
      </c>
      <c r="E6" s="8">
        <v>30363</v>
      </c>
      <c r="F6" s="8">
        <v>40000</v>
      </c>
      <c r="G6" s="8">
        <v>9637</v>
      </c>
      <c r="H6" s="2">
        <v>0.240925</v>
      </c>
      <c r="I6" t="s">
        <v>5</v>
      </c>
      <c r="J6" s="8">
        <v>1520</v>
      </c>
    </row>
    <row r="7" spans="1:10" x14ac:dyDescent="0.3">
      <c r="A7" s="1">
        <v>43831</v>
      </c>
      <c r="B7">
        <v>2020</v>
      </c>
      <c r="C7" t="str">
        <f>TEXT(Transformed_Data\[[#This Row],[Date]],"mmm")</f>
        <v>Jan</v>
      </c>
      <c r="D7" s="8">
        <v>4232</v>
      </c>
      <c r="E7" s="8">
        <v>30363</v>
      </c>
      <c r="F7" s="8">
        <v>40000</v>
      </c>
      <c r="G7" s="8">
        <v>9637</v>
      </c>
      <c r="H7" s="2">
        <v>0.240925</v>
      </c>
      <c r="I7" t="s">
        <v>6</v>
      </c>
      <c r="J7" s="8">
        <v>1930</v>
      </c>
    </row>
    <row r="8" spans="1:10" x14ac:dyDescent="0.3">
      <c r="A8" s="1">
        <v>43831</v>
      </c>
      <c r="B8">
        <v>2020</v>
      </c>
      <c r="C8" t="str">
        <f>TEXT(Transformed_Data\[[#This Row],[Date]],"mmm")</f>
        <v>Jan</v>
      </c>
      <c r="D8" s="8">
        <v>4232</v>
      </c>
      <c r="E8" s="8">
        <v>30363</v>
      </c>
      <c r="F8" s="8">
        <v>40000</v>
      </c>
      <c r="G8" s="8">
        <v>9637</v>
      </c>
      <c r="H8" s="2">
        <v>0.240925</v>
      </c>
      <c r="I8" t="s">
        <v>7</v>
      </c>
      <c r="J8" s="8">
        <v>4311</v>
      </c>
    </row>
    <row r="9" spans="1:10" x14ac:dyDescent="0.3">
      <c r="A9" s="1">
        <v>43831</v>
      </c>
      <c r="B9">
        <v>2020</v>
      </c>
      <c r="C9" t="str">
        <f>TEXT(Transformed_Data\[[#This Row],[Date]],"mmm")</f>
        <v>Jan</v>
      </c>
      <c r="D9" s="8">
        <v>4232</v>
      </c>
      <c r="E9" s="8">
        <v>30363</v>
      </c>
      <c r="F9" s="8">
        <v>40000</v>
      </c>
      <c r="G9" s="8">
        <v>9637</v>
      </c>
      <c r="H9" s="2">
        <v>0.240925</v>
      </c>
      <c r="I9" t="s">
        <v>9</v>
      </c>
      <c r="J9" s="8">
        <v>0</v>
      </c>
    </row>
    <row r="10" spans="1:10" x14ac:dyDescent="0.3">
      <c r="A10" s="1">
        <v>43831</v>
      </c>
      <c r="B10">
        <v>2020</v>
      </c>
      <c r="C10" t="str">
        <f>TEXT(Transformed_Data\[[#This Row],[Date]],"mmm")</f>
        <v>Jan</v>
      </c>
      <c r="D10" s="8">
        <v>4232</v>
      </c>
      <c r="E10" s="8">
        <v>30363</v>
      </c>
      <c r="F10" s="8">
        <v>40000</v>
      </c>
      <c r="G10" s="8">
        <v>9637</v>
      </c>
      <c r="H10" s="2">
        <v>0.240925</v>
      </c>
      <c r="I10" t="s">
        <v>10</v>
      </c>
      <c r="J10" s="8">
        <v>3138</v>
      </c>
    </row>
    <row r="11" spans="1:10" x14ac:dyDescent="0.3">
      <c r="A11" s="1">
        <v>43831</v>
      </c>
      <c r="B11">
        <v>2020</v>
      </c>
      <c r="C11" t="str">
        <f>TEXT(Transformed_Data\[[#This Row],[Date]],"mmm")</f>
        <v>Jan</v>
      </c>
      <c r="D11" s="8">
        <v>4232</v>
      </c>
      <c r="E11" s="8">
        <v>30363</v>
      </c>
      <c r="F11" s="8">
        <v>40000</v>
      </c>
      <c r="G11" s="8">
        <v>9637</v>
      </c>
      <c r="H11" s="2">
        <v>0.240925</v>
      </c>
      <c r="I11" t="s">
        <v>11</v>
      </c>
      <c r="J11" s="8">
        <v>1121</v>
      </c>
    </row>
    <row r="12" spans="1:10" x14ac:dyDescent="0.3">
      <c r="A12" s="1">
        <v>43862</v>
      </c>
      <c r="B12">
        <v>2020</v>
      </c>
      <c r="C12" t="str">
        <f>TEXT(Transformed_Data\[[#This Row],[Date]],"mmm")</f>
        <v>Feb</v>
      </c>
      <c r="D12" s="8">
        <v>7329</v>
      </c>
      <c r="E12" s="8">
        <v>34366</v>
      </c>
      <c r="F12" s="8">
        <v>40000</v>
      </c>
      <c r="G12" s="8">
        <v>5634</v>
      </c>
      <c r="H12" s="2">
        <v>0.14085</v>
      </c>
      <c r="I12" t="s">
        <v>1</v>
      </c>
      <c r="J12" s="8">
        <v>6135</v>
      </c>
    </row>
    <row r="13" spans="1:10" x14ac:dyDescent="0.3">
      <c r="A13" s="1">
        <v>43862</v>
      </c>
      <c r="B13">
        <v>2020</v>
      </c>
      <c r="C13" t="str">
        <f>TEXT(Transformed_Data\[[#This Row],[Date]],"mmm")</f>
        <v>Feb</v>
      </c>
      <c r="D13" s="8">
        <v>7329</v>
      </c>
      <c r="E13" s="8">
        <v>34366</v>
      </c>
      <c r="F13" s="8">
        <v>40000</v>
      </c>
      <c r="G13" s="8">
        <v>5634</v>
      </c>
      <c r="H13" s="2">
        <v>0.14085</v>
      </c>
      <c r="I13" t="s">
        <v>2</v>
      </c>
      <c r="J13" s="8">
        <v>10000</v>
      </c>
    </row>
    <row r="14" spans="1:10" x14ac:dyDescent="0.3">
      <c r="A14" s="1">
        <v>43862</v>
      </c>
      <c r="B14">
        <v>2020</v>
      </c>
      <c r="C14" t="str">
        <f>TEXT(Transformed_Data\[[#This Row],[Date]],"mmm")</f>
        <v>Feb</v>
      </c>
      <c r="D14" s="8">
        <v>7329</v>
      </c>
      <c r="E14" s="8">
        <v>34366</v>
      </c>
      <c r="F14" s="8">
        <v>40000</v>
      </c>
      <c r="G14" s="8">
        <v>5634</v>
      </c>
      <c r="H14" s="2">
        <v>0.14085</v>
      </c>
      <c r="I14" t="s">
        <v>3</v>
      </c>
      <c r="J14" s="8">
        <v>2371</v>
      </c>
    </row>
    <row r="15" spans="1:10" x14ac:dyDescent="0.3">
      <c r="A15" s="1">
        <v>43862</v>
      </c>
      <c r="B15">
        <v>2020</v>
      </c>
      <c r="C15" t="str">
        <f>TEXT(Transformed_Data\[[#This Row],[Date]],"mmm")</f>
        <v>Feb</v>
      </c>
      <c r="D15" s="8">
        <v>7329</v>
      </c>
      <c r="E15" s="8">
        <v>34366</v>
      </c>
      <c r="F15" s="8">
        <v>40000</v>
      </c>
      <c r="G15" s="8">
        <v>5634</v>
      </c>
      <c r="H15" s="2">
        <v>0.14085</v>
      </c>
      <c r="I15" t="s">
        <v>4</v>
      </c>
      <c r="J15" s="8">
        <v>851</v>
      </c>
    </row>
    <row r="16" spans="1:10" x14ac:dyDescent="0.3">
      <c r="A16" s="1">
        <v>43862</v>
      </c>
      <c r="B16">
        <v>2020</v>
      </c>
      <c r="C16" t="str">
        <f>TEXT(Transformed_Data\[[#This Row],[Date]],"mmm")</f>
        <v>Feb</v>
      </c>
      <c r="D16" s="8">
        <v>7329</v>
      </c>
      <c r="E16" s="8">
        <v>34366</v>
      </c>
      <c r="F16" s="8">
        <v>40000</v>
      </c>
      <c r="G16" s="8">
        <v>5634</v>
      </c>
      <c r="H16" s="2">
        <v>0.14085</v>
      </c>
      <c r="I16" t="s">
        <v>5</v>
      </c>
      <c r="J16" s="8">
        <v>1630</v>
      </c>
    </row>
    <row r="17" spans="1:10" x14ac:dyDescent="0.3">
      <c r="A17" s="1">
        <v>43862</v>
      </c>
      <c r="B17">
        <v>2020</v>
      </c>
      <c r="C17" t="str">
        <f>TEXT(Transformed_Data\[[#This Row],[Date]],"mmm")</f>
        <v>Feb</v>
      </c>
      <c r="D17" s="8">
        <v>7329</v>
      </c>
      <c r="E17" s="8">
        <v>34366</v>
      </c>
      <c r="F17" s="8">
        <v>40000</v>
      </c>
      <c r="G17" s="8">
        <v>5634</v>
      </c>
      <c r="H17" s="2">
        <v>0.14085</v>
      </c>
      <c r="I17" t="s">
        <v>6</v>
      </c>
      <c r="J17" s="8">
        <v>1923</v>
      </c>
    </row>
    <row r="18" spans="1:10" x14ac:dyDescent="0.3">
      <c r="A18" s="1">
        <v>43862</v>
      </c>
      <c r="B18">
        <v>2020</v>
      </c>
      <c r="C18" t="str">
        <f>TEXT(Transformed_Data\[[#This Row],[Date]],"mmm")</f>
        <v>Feb</v>
      </c>
      <c r="D18" s="8">
        <v>7329</v>
      </c>
      <c r="E18" s="8">
        <v>34366</v>
      </c>
      <c r="F18" s="8">
        <v>40000</v>
      </c>
      <c r="G18" s="8">
        <v>5634</v>
      </c>
      <c r="H18" s="2">
        <v>0.14085</v>
      </c>
      <c r="I18" t="s">
        <v>7</v>
      </c>
      <c r="J18" s="8">
        <v>5939</v>
      </c>
    </row>
    <row r="19" spans="1:10" x14ac:dyDescent="0.3">
      <c r="A19" s="1">
        <v>43862</v>
      </c>
      <c r="B19">
        <v>2020</v>
      </c>
      <c r="C19" t="str">
        <f>TEXT(Transformed_Data\[[#This Row],[Date]],"mmm")</f>
        <v>Feb</v>
      </c>
      <c r="D19" s="8">
        <v>7329</v>
      </c>
      <c r="E19" s="8">
        <v>34366</v>
      </c>
      <c r="F19" s="8">
        <v>40000</v>
      </c>
      <c r="G19" s="8">
        <v>5634</v>
      </c>
      <c r="H19" s="2">
        <v>0.14085</v>
      </c>
      <c r="I19" t="s">
        <v>9</v>
      </c>
      <c r="J19" s="8">
        <v>0</v>
      </c>
    </row>
    <row r="20" spans="1:10" x14ac:dyDescent="0.3">
      <c r="A20" s="1">
        <v>43862</v>
      </c>
      <c r="B20">
        <v>2020</v>
      </c>
      <c r="C20" t="str">
        <f>TEXT(Transformed_Data\[[#This Row],[Date]],"mmm")</f>
        <v>Feb</v>
      </c>
      <c r="D20" s="8">
        <v>7329</v>
      </c>
      <c r="E20" s="8">
        <v>34366</v>
      </c>
      <c r="F20" s="8">
        <v>40000</v>
      </c>
      <c r="G20" s="8">
        <v>5634</v>
      </c>
      <c r="H20" s="2">
        <v>0.14085</v>
      </c>
      <c r="I20" t="s">
        <v>10</v>
      </c>
      <c r="J20" s="8">
        <v>3185</v>
      </c>
    </row>
    <row r="21" spans="1:10" x14ac:dyDescent="0.3">
      <c r="A21" s="1">
        <v>43862</v>
      </c>
      <c r="B21">
        <v>2020</v>
      </c>
      <c r="C21" t="str">
        <f>TEXT(Transformed_Data\[[#This Row],[Date]],"mmm")</f>
        <v>Feb</v>
      </c>
      <c r="D21" s="8">
        <v>7329</v>
      </c>
      <c r="E21" s="8">
        <v>34366</v>
      </c>
      <c r="F21" s="8">
        <v>40000</v>
      </c>
      <c r="G21" s="8">
        <v>5634</v>
      </c>
      <c r="H21" s="2">
        <v>0.14085</v>
      </c>
      <c r="I21" t="s">
        <v>11</v>
      </c>
      <c r="J21" s="8">
        <v>2332</v>
      </c>
    </row>
    <row r="22" spans="1:10" x14ac:dyDescent="0.3">
      <c r="A22" s="1">
        <v>43891</v>
      </c>
      <c r="B22">
        <v>2020</v>
      </c>
      <c r="C22" t="str">
        <f>TEXT(Transformed_Data\[[#This Row],[Date]],"mmm")</f>
        <v>Mar</v>
      </c>
      <c r="D22" s="8">
        <v>3625</v>
      </c>
      <c r="E22" s="8">
        <v>32515</v>
      </c>
      <c r="F22" s="8">
        <v>36000</v>
      </c>
      <c r="G22" s="8">
        <v>3485</v>
      </c>
      <c r="H22" s="2">
        <v>9.6805555555555561E-2</v>
      </c>
      <c r="I22" t="s">
        <v>1</v>
      </c>
      <c r="J22" s="8">
        <v>6853</v>
      </c>
    </row>
    <row r="23" spans="1:10" x14ac:dyDescent="0.3">
      <c r="A23" s="1">
        <v>43891</v>
      </c>
      <c r="B23">
        <v>2020</v>
      </c>
      <c r="C23" t="str">
        <f>TEXT(Transformed_Data\[[#This Row],[Date]],"mmm")</f>
        <v>Mar</v>
      </c>
      <c r="D23" s="8">
        <v>3625</v>
      </c>
      <c r="E23" s="8">
        <v>32515</v>
      </c>
      <c r="F23" s="8">
        <v>36000</v>
      </c>
      <c r="G23" s="8">
        <v>3485</v>
      </c>
      <c r="H23" s="2">
        <v>9.6805555555555561E-2</v>
      </c>
      <c r="I23" t="s">
        <v>2</v>
      </c>
      <c r="J23" s="8">
        <v>10000</v>
      </c>
    </row>
    <row r="24" spans="1:10" x14ac:dyDescent="0.3">
      <c r="A24" s="1">
        <v>43891</v>
      </c>
      <c r="B24">
        <v>2020</v>
      </c>
      <c r="C24" t="str">
        <f>TEXT(Transformed_Data\[[#This Row],[Date]],"mmm")</f>
        <v>Mar</v>
      </c>
      <c r="D24" s="8">
        <v>3625</v>
      </c>
      <c r="E24" s="8">
        <v>32515</v>
      </c>
      <c r="F24" s="8">
        <v>36000</v>
      </c>
      <c r="G24" s="8">
        <v>3485</v>
      </c>
      <c r="H24" s="2">
        <v>9.6805555555555561E-2</v>
      </c>
      <c r="I24" t="s">
        <v>3</v>
      </c>
      <c r="J24" s="8">
        <v>2715</v>
      </c>
    </row>
    <row r="25" spans="1:10" x14ac:dyDescent="0.3">
      <c r="A25" s="1">
        <v>43891</v>
      </c>
      <c r="B25">
        <v>2020</v>
      </c>
      <c r="C25" t="str">
        <f>TEXT(Transformed_Data\[[#This Row],[Date]],"mmm")</f>
        <v>Mar</v>
      </c>
      <c r="D25" s="8">
        <v>3625</v>
      </c>
      <c r="E25" s="8">
        <v>32515</v>
      </c>
      <c r="F25" s="8">
        <v>36000</v>
      </c>
      <c r="G25" s="8">
        <v>3485</v>
      </c>
      <c r="H25" s="2">
        <v>9.6805555555555561E-2</v>
      </c>
      <c r="I25" t="s">
        <v>4</v>
      </c>
      <c r="J25" s="8">
        <v>1143</v>
      </c>
    </row>
    <row r="26" spans="1:10" x14ac:dyDescent="0.3">
      <c r="A26" s="1">
        <v>43891</v>
      </c>
      <c r="B26">
        <v>2020</v>
      </c>
      <c r="C26" t="str">
        <f>TEXT(Transformed_Data\[[#This Row],[Date]],"mmm")</f>
        <v>Mar</v>
      </c>
      <c r="D26" s="8">
        <v>3625</v>
      </c>
      <c r="E26" s="8">
        <v>32515</v>
      </c>
      <c r="F26" s="8">
        <v>36000</v>
      </c>
      <c r="G26" s="8">
        <v>3485</v>
      </c>
      <c r="H26" s="2">
        <v>9.6805555555555561E-2</v>
      </c>
      <c r="I26" t="s">
        <v>5</v>
      </c>
      <c r="J26" s="8">
        <v>1776</v>
      </c>
    </row>
    <row r="27" spans="1:10" x14ac:dyDescent="0.3">
      <c r="A27" s="1">
        <v>43891</v>
      </c>
      <c r="B27">
        <v>2020</v>
      </c>
      <c r="C27" t="str">
        <f>TEXT(Transformed_Data\[[#This Row],[Date]],"mmm")</f>
        <v>Mar</v>
      </c>
      <c r="D27" s="8">
        <v>3625</v>
      </c>
      <c r="E27" s="8">
        <v>32515</v>
      </c>
      <c r="F27" s="8">
        <v>36000</v>
      </c>
      <c r="G27" s="8">
        <v>3485</v>
      </c>
      <c r="H27" s="2">
        <v>9.6805555555555561E-2</v>
      </c>
      <c r="I27" t="s">
        <v>6</v>
      </c>
      <c r="J27" s="8">
        <v>1185</v>
      </c>
    </row>
    <row r="28" spans="1:10" x14ac:dyDescent="0.3">
      <c r="A28" s="1">
        <v>43891</v>
      </c>
      <c r="B28">
        <v>2020</v>
      </c>
      <c r="C28" t="str">
        <f>TEXT(Transformed_Data\[[#This Row],[Date]],"mmm")</f>
        <v>Mar</v>
      </c>
      <c r="D28" s="8">
        <v>3625</v>
      </c>
      <c r="E28" s="8">
        <v>32515</v>
      </c>
      <c r="F28" s="8">
        <v>36000</v>
      </c>
      <c r="G28" s="8">
        <v>3485</v>
      </c>
      <c r="H28" s="2">
        <v>9.6805555555555561E-2</v>
      </c>
      <c r="I28" t="s">
        <v>7</v>
      </c>
      <c r="J28" s="8">
        <v>4700</v>
      </c>
    </row>
    <row r="29" spans="1:10" x14ac:dyDescent="0.3">
      <c r="A29" s="1">
        <v>43891</v>
      </c>
      <c r="B29">
        <v>2020</v>
      </c>
      <c r="C29" t="str">
        <f>TEXT(Transformed_Data\[[#This Row],[Date]],"mmm")</f>
        <v>Mar</v>
      </c>
      <c r="D29" s="8">
        <v>3625</v>
      </c>
      <c r="E29" s="8">
        <v>32515</v>
      </c>
      <c r="F29" s="8">
        <v>36000</v>
      </c>
      <c r="G29" s="8">
        <v>3485</v>
      </c>
      <c r="H29" s="2">
        <v>9.6805555555555561E-2</v>
      </c>
      <c r="I29" t="s">
        <v>9</v>
      </c>
      <c r="J29" s="8">
        <v>0</v>
      </c>
    </row>
    <row r="30" spans="1:10" x14ac:dyDescent="0.3">
      <c r="A30" s="1">
        <v>43891</v>
      </c>
      <c r="B30">
        <v>2020</v>
      </c>
      <c r="C30" t="str">
        <f>TEXT(Transformed_Data\[[#This Row],[Date]],"mmm")</f>
        <v>Mar</v>
      </c>
      <c r="D30" s="8">
        <v>3625</v>
      </c>
      <c r="E30" s="8">
        <v>32515</v>
      </c>
      <c r="F30" s="8">
        <v>36000</v>
      </c>
      <c r="G30" s="8">
        <v>3485</v>
      </c>
      <c r="H30" s="2">
        <v>9.6805555555555561E-2</v>
      </c>
      <c r="I30" t="s">
        <v>10</v>
      </c>
      <c r="J30" s="8">
        <v>2684</v>
      </c>
    </row>
    <row r="31" spans="1:10" x14ac:dyDescent="0.3">
      <c r="A31" s="1">
        <v>43891</v>
      </c>
      <c r="B31">
        <v>2020</v>
      </c>
      <c r="C31" t="str">
        <f>TEXT(Transformed_Data\[[#This Row],[Date]],"mmm")</f>
        <v>Mar</v>
      </c>
      <c r="D31" s="8">
        <v>3625</v>
      </c>
      <c r="E31" s="8">
        <v>32515</v>
      </c>
      <c r="F31" s="8">
        <v>36000</v>
      </c>
      <c r="G31" s="8">
        <v>3485</v>
      </c>
      <c r="H31" s="2">
        <v>9.6805555555555561E-2</v>
      </c>
      <c r="I31" t="s">
        <v>11</v>
      </c>
      <c r="J31" s="8">
        <v>1459</v>
      </c>
    </row>
    <row r="32" spans="1:10" x14ac:dyDescent="0.3">
      <c r="A32" s="1">
        <v>43922</v>
      </c>
      <c r="B32">
        <v>2020</v>
      </c>
      <c r="C32" t="str">
        <f>TEXT(Transformed_Data\[[#This Row],[Date]],"mmm")</f>
        <v>Apr</v>
      </c>
      <c r="D32" s="8">
        <v>6426</v>
      </c>
      <c r="E32" s="8">
        <v>33305</v>
      </c>
      <c r="F32" s="8">
        <v>36000</v>
      </c>
      <c r="G32" s="8">
        <v>2695</v>
      </c>
      <c r="H32" s="2">
        <v>7.4861111111111114E-2</v>
      </c>
      <c r="I32" t="s">
        <v>1</v>
      </c>
      <c r="J32" s="8">
        <v>6904</v>
      </c>
    </row>
    <row r="33" spans="1:10" x14ac:dyDescent="0.3">
      <c r="A33" s="1">
        <v>43922</v>
      </c>
      <c r="B33">
        <v>2020</v>
      </c>
      <c r="C33" t="str">
        <f>TEXT(Transformed_Data\[[#This Row],[Date]],"mmm")</f>
        <v>Apr</v>
      </c>
      <c r="D33" s="8">
        <v>6426</v>
      </c>
      <c r="E33" s="8">
        <v>33305</v>
      </c>
      <c r="F33" s="8">
        <v>36000</v>
      </c>
      <c r="G33" s="8">
        <v>2695</v>
      </c>
      <c r="H33" s="2">
        <v>7.4861111111111114E-2</v>
      </c>
      <c r="I33" t="s">
        <v>2</v>
      </c>
      <c r="J33" s="8">
        <v>10000</v>
      </c>
    </row>
    <row r="34" spans="1:10" x14ac:dyDescent="0.3">
      <c r="A34" s="1">
        <v>43922</v>
      </c>
      <c r="B34">
        <v>2020</v>
      </c>
      <c r="C34" t="str">
        <f>TEXT(Transformed_Data\[[#This Row],[Date]],"mmm")</f>
        <v>Apr</v>
      </c>
      <c r="D34" s="8">
        <v>6426</v>
      </c>
      <c r="E34" s="8">
        <v>33305</v>
      </c>
      <c r="F34" s="8">
        <v>36000</v>
      </c>
      <c r="G34" s="8">
        <v>2695</v>
      </c>
      <c r="H34" s="2">
        <v>7.4861111111111114E-2</v>
      </c>
      <c r="I34" t="s">
        <v>3</v>
      </c>
      <c r="J34" s="8">
        <v>2582</v>
      </c>
    </row>
    <row r="35" spans="1:10" x14ac:dyDescent="0.3">
      <c r="A35" s="1">
        <v>43922</v>
      </c>
      <c r="B35">
        <v>2020</v>
      </c>
      <c r="C35" t="str">
        <f>TEXT(Transformed_Data\[[#This Row],[Date]],"mmm")</f>
        <v>Apr</v>
      </c>
      <c r="D35" s="8">
        <v>6426</v>
      </c>
      <c r="E35" s="8">
        <v>33305</v>
      </c>
      <c r="F35" s="8">
        <v>36000</v>
      </c>
      <c r="G35" s="8">
        <v>2695</v>
      </c>
      <c r="H35" s="2">
        <v>7.4861111111111114E-2</v>
      </c>
      <c r="I35" t="s">
        <v>4</v>
      </c>
      <c r="J35" s="8">
        <v>869</v>
      </c>
    </row>
    <row r="36" spans="1:10" x14ac:dyDescent="0.3">
      <c r="A36" s="1">
        <v>43922</v>
      </c>
      <c r="B36">
        <v>2020</v>
      </c>
      <c r="C36" t="str">
        <f>TEXT(Transformed_Data\[[#This Row],[Date]],"mmm")</f>
        <v>Apr</v>
      </c>
      <c r="D36" s="8">
        <v>6426</v>
      </c>
      <c r="E36" s="8">
        <v>33305</v>
      </c>
      <c r="F36" s="8">
        <v>36000</v>
      </c>
      <c r="G36" s="8">
        <v>2695</v>
      </c>
      <c r="H36" s="2">
        <v>7.4861111111111114E-2</v>
      </c>
      <c r="I36" t="s">
        <v>5</v>
      </c>
      <c r="J36" s="8">
        <v>1975</v>
      </c>
    </row>
    <row r="37" spans="1:10" x14ac:dyDescent="0.3">
      <c r="A37" s="1">
        <v>43922</v>
      </c>
      <c r="B37">
        <v>2020</v>
      </c>
      <c r="C37" t="str">
        <f>TEXT(Transformed_Data\[[#This Row],[Date]],"mmm")</f>
        <v>Apr</v>
      </c>
      <c r="D37" s="8">
        <v>6426</v>
      </c>
      <c r="E37" s="8">
        <v>33305</v>
      </c>
      <c r="F37" s="8">
        <v>36000</v>
      </c>
      <c r="G37" s="8">
        <v>2695</v>
      </c>
      <c r="H37" s="2">
        <v>7.4861111111111114E-2</v>
      </c>
      <c r="I37" t="s">
        <v>6</v>
      </c>
      <c r="J37" s="8">
        <v>1274</v>
      </c>
    </row>
    <row r="38" spans="1:10" x14ac:dyDescent="0.3">
      <c r="A38" s="1">
        <v>43922</v>
      </c>
      <c r="B38">
        <v>2020</v>
      </c>
      <c r="C38" t="str">
        <f>TEXT(Transformed_Data\[[#This Row],[Date]],"mmm")</f>
        <v>Apr</v>
      </c>
      <c r="D38" s="8">
        <v>6426</v>
      </c>
      <c r="E38" s="8">
        <v>33305</v>
      </c>
      <c r="F38" s="8">
        <v>36000</v>
      </c>
      <c r="G38" s="8">
        <v>2695</v>
      </c>
      <c r="H38" s="2">
        <v>7.4861111111111114E-2</v>
      </c>
      <c r="I38" t="s">
        <v>7</v>
      </c>
      <c r="J38" s="8">
        <v>4420</v>
      </c>
    </row>
    <row r="39" spans="1:10" x14ac:dyDescent="0.3">
      <c r="A39" s="1">
        <v>43922</v>
      </c>
      <c r="B39">
        <v>2020</v>
      </c>
      <c r="C39" t="str">
        <f>TEXT(Transformed_Data\[[#This Row],[Date]],"mmm")</f>
        <v>Apr</v>
      </c>
      <c r="D39" s="8">
        <v>6426</v>
      </c>
      <c r="E39" s="8">
        <v>33305</v>
      </c>
      <c r="F39" s="8">
        <v>36000</v>
      </c>
      <c r="G39" s="8">
        <v>2695</v>
      </c>
      <c r="H39" s="2">
        <v>7.4861111111111114E-2</v>
      </c>
      <c r="I39" t="s">
        <v>9</v>
      </c>
      <c r="J39" s="8">
        <v>0</v>
      </c>
    </row>
    <row r="40" spans="1:10" x14ac:dyDescent="0.3">
      <c r="A40" s="1">
        <v>43922</v>
      </c>
      <c r="B40">
        <v>2020</v>
      </c>
      <c r="C40" t="str">
        <f>TEXT(Transformed_Data\[[#This Row],[Date]],"mmm")</f>
        <v>Apr</v>
      </c>
      <c r="D40" s="8">
        <v>6426</v>
      </c>
      <c r="E40" s="8">
        <v>33305</v>
      </c>
      <c r="F40" s="8">
        <v>36000</v>
      </c>
      <c r="G40" s="8">
        <v>2695</v>
      </c>
      <c r="H40" s="2">
        <v>7.4861111111111114E-2</v>
      </c>
      <c r="I40" t="s">
        <v>10</v>
      </c>
      <c r="J40" s="8">
        <v>2475</v>
      </c>
    </row>
    <row r="41" spans="1:10" x14ac:dyDescent="0.3">
      <c r="A41" s="1">
        <v>43922</v>
      </c>
      <c r="B41">
        <v>2020</v>
      </c>
      <c r="C41" t="str">
        <f>TEXT(Transformed_Data\[[#This Row],[Date]],"mmm")</f>
        <v>Apr</v>
      </c>
      <c r="D41" s="8">
        <v>6426</v>
      </c>
      <c r="E41" s="8">
        <v>33305</v>
      </c>
      <c r="F41" s="8">
        <v>36000</v>
      </c>
      <c r="G41" s="8">
        <v>2695</v>
      </c>
      <c r="H41" s="2">
        <v>7.4861111111111114E-2</v>
      </c>
      <c r="I41" t="s">
        <v>11</v>
      </c>
      <c r="J41" s="8">
        <v>2806</v>
      </c>
    </row>
    <row r="42" spans="1:10" x14ac:dyDescent="0.3">
      <c r="A42" s="1">
        <v>43952</v>
      </c>
      <c r="B42">
        <v>2020</v>
      </c>
      <c r="C42" t="str">
        <f>TEXT(Transformed_Data\[[#This Row],[Date]],"mmm")</f>
        <v>May</v>
      </c>
      <c r="D42" s="8">
        <v>3647</v>
      </c>
      <c r="E42" s="8">
        <v>29611</v>
      </c>
      <c r="F42" s="8">
        <v>36000</v>
      </c>
      <c r="G42" s="8">
        <v>6389</v>
      </c>
      <c r="H42" s="2">
        <v>0.17747222222222223</v>
      </c>
      <c r="I42" t="s">
        <v>1</v>
      </c>
      <c r="J42" s="8">
        <v>4562</v>
      </c>
    </row>
    <row r="43" spans="1:10" x14ac:dyDescent="0.3">
      <c r="A43" s="1">
        <v>43952</v>
      </c>
      <c r="B43">
        <v>2020</v>
      </c>
      <c r="C43" t="str">
        <f>TEXT(Transformed_Data\[[#This Row],[Date]],"mmm")</f>
        <v>May</v>
      </c>
      <c r="D43" s="8">
        <v>3647</v>
      </c>
      <c r="E43" s="8">
        <v>29611</v>
      </c>
      <c r="F43" s="8">
        <v>36000</v>
      </c>
      <c r="G43" s="8">
        <v>6389</v>
      </c>
      <c r="H43" s="2">
        <v>0.17747222222222223</v>
      </c>
      <c r="I43" t="s">
        <v>2</v>
      </c>
      <c r="J43" s="8">
        <v>10000</v>
      </c>
    </row>
    <row r="44" spans="1:10" x14ac:dyDescent="0.3">
      <c r="A44" s="1">
        <v>43952</v>
      </c>
      <c r="B44">
        <v>2020</v>
      </c>
      <c r="C44" t="str">
        <f>TEXT(Transformed_Data\[[#This Row],[Date]],"mmm")</f>
        <v>May</v>
      </c>
      <c r="D44" s="8">
        <v>3647</v>
      </c>
      <c r="E44" s="8">
        <v>29611</v>
      </c>
      <c r="F44" s="8">
        <v>36000</v>
      </c>
      <c r="G44" s="8">
        <v>6389</v>
      </c>
      <c r="H44" s="2">
        <v>0.17747222222222223</v>
      </c>
      <c r="I44" t="s">
        <v>3</v>
      </c>
      <c r="J44" s="8">
        <v>3028</v>
      </c>
    </row>
    <row r="45" spans="1:10" x14ac:dyDescent="0.3">
      <c r="A45" s="1">
        <v>43952</v>
      </c>
      <c r="B45">
        <v>2020</v>
      </c>
      <c r="C45" t="str">
        <f>TEXT(Transformed_Data\[[#This Row],[Date]],"mmm")</f>
        <v>May</v>
      </c>
      <c r="D45" s="8">
        <v>3647</v>
      </c>
      <c r="E45" s="8">
        <v>29611</v>
      </c>
      <c r="F45" s="8">
        <v>36000</v>
      </c>
      <c r="G45" s="8">
        <v>6389</v>
      </c>
      <c r="H45" s="2">
        <v>0.17747222222222223</v>
      </c>
      <c r="I45" t="s">
        <v>4</v>
      </c>
      <c r="J45" s="8">
        <v>830</v>
      </c>
    </row>
    <row r="46" spans="1:10" x14ac:dyDescent="0.3">
      <c r="A46" s="1">
        <v>43952</v>
      </c>
      <c r="B46">
        <v>2020</v>
      </c>
      <c r="C46" t="str">
        <f>TEXT(Transformed_Data\[[#This Row],[Date]],"mmm")</f>
        <v>May</v>
      </c>
      <c r="D46" s="8">
        <v>3647</v>
      </c>
      <c r="E46" s="8">
        <v>29611</v>
      </c>
      <c r="F46" s="8">
        <v>36000</v>
      </c>
      <c r="G46" s="8">
        <v>6389</v>
      </c>
      <c r="H46" s="2">
        <v>0.17747222222222223</v>
      </c>
      <c r="I46" t="s">
        <v>5</v>
      </c>
      <c r="J46" s="8">
        <v>1984</v>
      </c>
    </row>
    <row r="47" spans="1:10" x14ac:dyDescent="0.3">
      <c r="A47" s="1">
        <v>43952</v>
      </c>
      <c r="B47">
        <v>2020</v>
      </c>
      <c r="C47" t="str">
        <f>TEXT(Transformed_Data\[[#This Row],[Date]],"mmm")</f>
        <v>May</v>
      </c>
      <c r="D47" s="8">
        <v>3647</v>
      </c>
      <c r="E47" s="8">
        <v>29611</v>
      </c>
      <c r="F47" s="8">
        <v>36000</v>
      </c>
      <c r="G47" s="8">
        <v>6389</v>
      </c>
      <c r="H47" s="2">
        <v>0.17747222222222223</v>
      </c>
      <c r="I47" t="s">
        <v>6</v>
      </c>
      <c r="J47" s="8">
        <v>1631</v>
      </c>
    </row>
    <row r="48" spans="1:10" x14ac:dyDescent="0.3">
      <c r="A48" s="1">
        <v>43952</v>
      </c>
      <c r="B48">
        <v>2020</v>
      </c>
      <c r="C48" t="str">
        <f>TEXT(Transformed_Data\[[#This Row],[Date]],"mmm")</f>
        <v>May</v>
      </c>
      <c r="D48" s="8">
        <v>3647</v>
      </c>
      <c r="E48" s="8">
        <v>29611</v>
      </c>
      <c r="F48" s="8">
        <v>36000</v>
      </c>
      <c r="G48" s="8">
        <v>6389</v>
      </c>
      <c r="H48" s="2">
        <v>0.17747222222222223</v>
      </c>
      <c r="I48" t="s">
        <v>7</v>
      </c>
      <c r="J48" s="8">
        <v>4410</v>
      </c>
    </row>
    <row r="49" spans="1:10" x14ac:dyDescent="0.3">
      <c r="A49" s="1">
        <v>43952</v>
      </c>
      <c r="B49">
        <v>2020</v>
      </c>
      <c r="C49" t="str">
        <f>TEXT(Transformed_Data\[[#This Row],[Date]],"mmm")</f>
        <v>May</v>
      </c>
      <c r="D49" s="8">
        <v>3647</v>
      </c>
      <c r="E49" s="8">
        <v>29611</v>
      </c>
      <c r="F49" s="8">
        <v>36000</v>
      </c>
      <c r="G49" s="8">
        <v>6389</v>
      </c>
      <c r="H49" s="2">
        <v>0.17747222222222223</v>
      </c>
      <c r="I49" t="s">
        <v>9</v>
      </c>
      <c r="J49" s="8">
        <v>0</v>
      </c>
    </row>
    <row r="50" spans="1:10" x14ac:dyDescent="0.3">
      <c r="A50" s="1">
        <v>43952</v>
      </c>
      <c r="B50">
        <v>2020</v>
      </c>
      <c r="C50" t="str">
        <f>TEXT(Transformed_Data\[[#This Row],[Date]],"mmm")</f>
        <v>May</v>
      </c>
      <c r="D50" s="8">
        <v>3647</v>
      </c>
      <c r="E50" s="8">
        <v>29611</v>
      </c>
      <c r="F50" s="8">
        <v>36000</v>
      </c>
      <c r="G50" s="8">
        <v>6389</v>
      </c>
      <c r="H50" s="2">
        <v>0.17747222222222223</v>
      </c>
      <c r="I50" t="s">
        <v>10</v>
      </c>
      <c r="J50" s="8">
        <v>2146</v>
      </c>
    </row>
    <row r="51" spans="1:10" x14ac:dyDescent="0.3">
      <c r="A51" s="1">
        <v>43952</v>
      </c>
      <c r="B51">
        <v>2020</v>
      </c>
      <c r="C51" t="str">
        <f>TEXT(Transformed_Data\[[#This Row],[Date]],"mmm")</f>
        <v>May</v>
      </c>
      <c r="D51" s="8">
        <v>3647</v>
      </c>
      <c r="E51" s="8">
        <v>29611</v>
      </c>
      <c r="F51" s="8">
        <v>36000</v>
      </c>
      <c r="G51" s="8">
        <v>6389</v>
      </c>
      <c r="H51" s="2">
        <v>0.17747222222222223</v>
      </c>
      <c r="I51" t="s">
        <v>11</v>
      </c>
      <c r="J51" s="8">
        <v>1020</v>
      </c>
    </row>
    <row r="52" spans="1:10" x14ac:dyDescent="0.3">
      <c r="A52" s="1">
        <v>43983</v>
      </c>
      <c r="B52">
        <v>2020</v>
      </c>
      <c r="C52" t="str">
        <f>TEXT(Transformed_Data\[[#This Row],[Date]],"mmm")</f>
        <v>Jun</v>
      </c>
      <c r="D52" s="8">
        <v>4039</v>
      </c>
      <c r="E52" s="8">
        <v>28791</v>
      </c>
      <c r="F52" s="8">
        <v>36000</v>
      </c>
      <c r="G52" s="8">
        <v>7209</v>
      </c>
      <c r="H52" s="2">
        <v>0.20025000000000001</v>
      </c>
      <c r="I52" t="s">
        <v>1</v>
      </c>
      <c r="J52" s="8">
        <v>4600</v>
      </c>
    </row>
    <row r="53" spans="1:10" x14ac:dyDescent="0.3">
      <c r="A53" s="1">
        <v>43983</v>
      </c>
      <c r="B53">
        <v>2020</v>
      </c>
      <c r="C53" t="str">
        <f>TEXT(Transformed_Data\[[#This Row],[Date]],"mmm")</f>
        <v>Jun</v>
      </c>
      <c r="D53" s="8">
        <v>4039</v>
      </c>
      <c r="E53" s="8">
        <v>28791</v>
      </c>
      <c r="F53" s="8">
        <v>36000</v>
      </c>
      <c r="G53" s="8">
        <v>7209</v>
      </c>
      <c r="H53" s="2">
        <v>0.20025000000000001</v>
      </c>
      <c r="I53" t="s">
        <v>2</v>
      </c>
      <c r="J53" s="8">
        <v>10000</v>
      </c>
    </row>
    <row r="54" spans="1:10" x14ac:dyDescent="0.3">
      <c r="A54" s="1">
        <v>43983</v>
      </c>
      <c r="B54">
        <v>2020</v>
      </c>
      <c r="C54" t="str">
        <f>TEXT(Transformed_Data\[[#This Row],[Date]],"mmm")</f>
        <v>Jun</v>
      </c>
      <c r="D54" s="8">
        <v>4039</v>
      </c>
      <c r="E54" s="8">
        <v>28791</v>
      </c>
      <c r="F54" s="8">
        <v>36000</v>
      </c>
      <c r="G54" s="8">
        <v>7209</v>
      </c>
      <c r="H54" s="2">
        <v>0.20025000000000001</v>
      </c>
      <c r="I54" t="s">
        <v>3</v>
      </c>
      <c r="J54" s="8">
        <v>1513</v>
      </c>
    </row>
    <row r="55" spans="1:10" x14ac:dyDescent="0.3">
      <c r="A55" s="1">
        <v>43983</v>
      </c>
      <c r="B55">
        <v>2020</v>
      </c>
      <c r="C55" t="str">
        <f>TEXT(Transformed_Data\[[#This Row],[Date]],"mmm")</f>
        <v>Jun</v>
      </c>
      <c r="D55" s="8">
        <v>4039</v>
      </c>
      <c r="E55" s="8">
        <v>28791</v>
      </c>
      <c r="F55" s="8">
        <v>36000</v>
      </c>
      <c r="G55" s="8">
        <v>7209</v>
      </c>
      <c r="H55" s="2">
        <v>0.20025000000000001</v>
      </c>
      <c r="I55" t="s">
        <v>4</v>
      </c>
      <c r="J55" s="8">
        <v>941</v>
      </c>
    </row>
    <row r="56" spans="1:10" x14ac:dyDescent="0.3">
      <c r="A56" s="1">
        <v>43983</v>
      </c>
      <c r="B56">
        <v>2020</v>
      </c>
      <c r="C56" t="str">
        <f>TEXT(Transformed_Data\[[#This Row],[Date]],"mmm")</f>
        <v>Jun</v>
      </c>
      <c r="D56" s="8">
        <v>4039</v>
      </c>
      <c r="E56" s="8">
        <v>28791</v>
      </c>
      <c r="F56" s="8">
        <v>36000</v>
      </c>
      <c r="G56" s="8">
        <v>7209</v>
      </c>
      <c r="H56" s="2">
        <v>0.20025000000000001</v>
      </c>
      <c r="I56" t="s">
        <v>5</v>
      </c>
      <c r="J56" s="8">
        <v>2276</v>
      </c>
    </row>
    <row r="57" spans="1:10" x14ac:dyDescent="0.3">
      <c r="A57" s="1">
        <v>43983</v>
      </c>
      <c r="B57">
        <v>2020</v>
      </c>
      <c r="C57" t="str">
        <f>TEXT(Transformed_Data\[[#This Row],[Date]],"mmm")</f>
        <v>Jun</v>
      </c>
      <c r="D57" s="8">
        <v>4039</v>
      </c>
      <c r="E57" s="8">
        <v>28791</v>
      </c>
      <c r="F57" s="8">
        <v>36000</v>
      </c>
      <c r="G57" s="8">
        <v>7209</v>
      </c>
      <c r="H57" s="2">
        <v>0.20025000000000001</v>
      </c>
      <c r="I57" t="s">
        <v>6</v>
      </c>
      <c r="J57" s="8">
        <v>1115</v>
      </c>
    </row>
    <row r="58" spans="1:10" x14ac:dyDescent="0.3">
      <c r="A58" s="1">
        <v>43983</v>
      </c>
      <c r="B58">
        <v>2020</v>
      </c>
      <c r="C58" t="str">
        <f>TEXT(Transformed_Data\[[#This Row],[Date]],"mmm")</f>
        <v>Jun</v>
      </c>
      <c r="D58" s="8">
        <v>4039</v>
      </c>
      <c r="E58" s="8">
        <v>28791</v>
      </c>
      <c r="F58" s="8">
        <v>36000</v>
      </c>
      <c r="G58" s="8">
        <v>7209</v>
      </c>
      <c r="H58" s="2">
        <v>0.20025000000000001</v>
      </c>
      <c r="I58" t="s">
        <v>7</v>
      </c>
      <c r="J58" s="8">
        <v>4392</v>
      </c>
    </row>
    <row r="59" spans="1:10" x14ac:dyDescent="0.3">
      <c r="A59" s="1">
        <v>43983</v>
      </c>
      <c r="B59">
        <v>2020</v>
      </c>
      <c r="C59" t="str">
        <f>TEXT(Transformed_Data\[[#This Row],[Date]],"mmm")</f>
        <v>Jun</v>
      </c>
      <c r="D59" s="8">
        <v>4039</v>
      </c>
      <c r="E59" s="8">
        <v>28791</v>
      </c>
      <c r="F59" s="8">
        <v>36000</v>
      </c>
      <c r="G59" s="8">
        <v>7209</v>
      </c>
      <c r="H59" s="2">
        <v>0.20025000000000001</v>
      </c>
      <c r="I59" t="s">
        <v>9</v>
      </c>
      <c r="J59" s="8">
        <v>0</v>
      </c>
    </row>
    <row r="60" spans="1:10" x14ac:dyDescent="0.3">
      <c r="A60" s="1">
        <v>43983</v>
      </c>
      <c r="B60">
        <v>2020</v>
      </c>
      <c r="C60" t="str">
        <f>TEXT(Transformed_Data\[[#This Row],[Date]],"mmm")</f>
        <v>Jun</v>
      </c>
      <c r="D60" s="8">
        <v>4039</v>
      </c>
      <c r="E60" s="8">
        <v>28791</v>
      </c>
      <c r="F60" s="8">
        <v>36000</v>
      </c>
      <c r="G60" s="8">
        <v>7209</v>
      </c>
      <c r="H60" s="2">
        <v>0.20025000000000001</v>
      </c>
      <c r="I60" t="s">
        <v>10</v>
      </c>
      <c r="J60" s="8">
        <v>2863</v>
      </c>
    </row>
    <row r="61" spans="1:10" x14ac:dyDescent="0.3">
      <c r="A61" s="1">
        <v>43983</v>
      </c>
      <c r="B61">
        <v>2020</v>
      </c>
      <c r="C61" t="str">
        <f>TEXT(Transformed_Data\[[#This Row],[Date]],"mmm")</f>
        <v>Jun</v>
      </c>
      <c r="D61" s="8">
        <v>4039</v>
      </c>
      <c r="E61" s="8">
        <v>28791</v>
      </c>
      <c r="F61" s="8">
        <v>36000</v>
      </c>
      <c r="G61" s="8">
        <v>7209</v>
      </c>
      <c r="H61" s="2">
        <v>0.20025000000000001</v>
      </c>
      <c r="I61" t="s">
        <v>11</v>
      </c>
      <c r="J61" s="8">
        <v>1091</v>
      </c>
    </row>
    <row r="62" spans="1:10" x14ac:dyDescent="0.3">
      <c r="A62" s="1">
        <v>44013</v>
      </c>
      <c r="B62">
        <v>2020</v>
      </c>
      <c r="C62" t="str">
        <f>TEXT(Transformed_Data\[[#This Row],[Date]],"mmm")</f>
        <v>Jul</v>
      </c>
      <c r="D62" s="8">
        <v>4722</v>
      </c>
      <c r="E62" s="8">
        <v>34868</v>
      </c>
      <c r="F62" s="8">
        <v>36000</v>
      </c>
      <c r="G62" s="8">
        <v>1132</v>
      </c>
      <c r="H62" s="2">
        <v>3.1444444444444442E-2</v>
      </c>
      <c r="I62" t="s">
        <v>1</v>
      </c>
      <c r="J62" s="8">
        <v>6556</v>
      </c>
    </row>
    <row r="63" spans="1:10" x14ac:dyDescent="0.3">
      <c r="A63" s="1">
        <v>44013</v>
      </c>
      <c r="B63">
        <v>2020</v>
      </c>
      <c r="C63" t="str">
        <f>TEXT(Transformed_Data\[[#This Row],[Date]],"mmm")</f>
        <v>Jul</v>
      </c>
      <c r="D63" s="8">
        <v>4722</v>
      </c>
      <c r="E63" s="8">
        <v>34868</v>
      </c>
      <c r="F63" s="8">
        <v>36000</v>
      </c>
      <c r="G63" s="8">
        <v>1132</v>
      </c>
      <c r="H63" s="2">
        <v>3.1444444444444442E-2</v>
      </c>
      <c r="I63" t="s">
        <v>2</v>
      </c>
      <c r="J63" s="8">
        <v>10000</v>
      </c>
    </row>
    <row r="64" spans="1:10" x14ac:dyDescent="0.3">
      <c r="A64" s="1">
        <v>44013</v>
      </c>
      <c r="B64">
        <v>2020</v>
      </c>
      <c r="C64" t="str">
        <f>TEXT(Transformed_Data\[[#This Row],[Date]],"mmm")</f>
        <v>Jul</v>
      </c>
      <c r="D64" s="8">
        <v>4722</v>
      </c>
      <c r="E64" s="8">
        <v>34868</v>
      </c>
      <c r="F64" s="8">
        <v>36000</v>
      </c>
      <c r="G64" s="8">
        <v>1132</v>
      </c>
      <c r="H64" s="2">
        <v>3.1444444444444442E-2</v>
      </c>
      <c r="I64" t="s">
        <v>3</v>
      </c>
      <c r="J64" s="8">
        <v>3466</v>
      </c>
    </row>
    <row r="65" spans="1:10" x14ac:dyDescent="0.3">
      <c r="A65" s="1">
        <v>44013</v>
      </c>
      <c r="B65">
        <v>2020</v>
      </c>
      <c r="C65" t="str">
        <f>TEXT(Transformed_Data\[[#This Row],[Date]],"mmm")</f>
        <v>Jul</v>
      </c>
      <c r="D65" s="8">
        <v>4722</v>
      </c>
      <c r="E65" s="8">
        <v>34868</v>
      </c>
      <c r="F65" s="8">
        <v>36000</v>
      </c>
      <c r="G65" s="8">
        <v>1132</v>
      </c>
      <c r="H65" s="2">
        <v>3.1444444444444442E-2</v>
      </c>
      <c r="I65" t="s">
        <v>4</v>
      </c>
      <c r="J65" s="8">
        <v>734</v>
      </c>
    </row>
    <row r="66" spans="1:10" x14ac:dyDescent="0.3">
      <c r="A66" s="1">
        <v>44013</v>
      </c>
      <c r="B66">
        <v>2020</v>
      </c>
      <c r="C66" t="str">
        <f>TEXT(Transformed_Data\[[#This Row],[Date]],"mmm")</f>
        <v>Jul</v>
      </c>
      <c r="D66" s="8">
        <v>4722</v>
      </c>
      <c r="E66" s="8">
        <v>34868</v>
      </c>
      <c r="F66" s="8">
        <v>36000</v>
      </c>
      <c r="G66" s="8">
        <v>1132</v>
      </c>
      <c r="H66" s="2">
        <v>3.1444444444444442E-2</v>
      </c>
      <c r="I66" t="s">
        <v>5</v>
      </c>
      <c r="J66" s="8">
        <v>1705</v>
      </c>
    </row>
    <row r="67" spans="1:10" x14ac:dyDescent="0.3">
      <c r="A67" s="1">
        <v>44013</v>
      </c>
      <c r="B67">
        <v>2020</v>
      </c>
      <c r="C67" t="str">
        <f>TEXT(Transformed_Data\[[#This Row],[Date]],"mmm")</f>
        <v>Jul</v>
      </c>
      <c r="D67" s="8">
        <v>4722</v>
      </c>
      <c r="E67" s="8">
        <v>34868</v>
      </c>
      <c r="F67" s="8">
        <v>36000</v>
      </c>
      <c r="G67" s="8">
        <v>1132</v>
      </c>
      <c r="H67" s="2">
        <v>3.1444444444444442E-2</v>
      </c>
      <c r="I67" t="s">
        <v>6</v>
      </c>
      <c r="J67" s="8">
        <v>1575</v>
      </c>
    </row>
    <row r="68" spans="1:10" x14ac:dyDescent="0.3">
      <c r="A68" s="1">
        <v>44013</v>
      </c>
      <c r="B68">
        <v>2020</v>
      </c>
      <c r="C68" t="str">
        <f>TEXT(Transformed_Data\[[#This Row],[Date]],"mmm")</f>
        <v>Jul</v>
      </c>
      <c r="D68" s="8">
        <v>4722</v>
      </c>
      <c r="E68" s="8">
        <v>34868</v>
      </c>
      <c r="F68" s="8">
        <v>36000</v>
      </c>
      <c r="G68" s="8">
        <v>1132</v>
      </c>
      <c r="H68" s="2">
        <v>3.1444444444444442E-2</v>
      </c>
      <c r="I68" t="s">
        <v>7</v>
      </c>
      <c r="J68" s="8">
        <v>4792</v>
      </c>
    </row>
    <row r="69" spans="1:10" x14ac:dyDescent="0.3">
      <c r="A69" s="1">
        <v>44013</v>
      </c>
      <c r="B69">
        <v>2020</v>
      </c>
      <c r="C69" t="str">
        <f>TEXT(Transformed_Data\[[#This Row],[Date]],"mmm")</f>
        <v>Jul</v>
      </c>
      <c r="D69" s="8">
        <v>4722</v>
      </c>
      <c r="E69" s="8">
        <v>34868</v>
      </c>
      <c r="F69" s="8">
        <v>36000</v>
      </c>
      <c r="G69" s="8">
        <v>1132</v>
      </c>
      <c r="H69" s="2">
        <v>3.1444444444444442E-2</v>
      </c>
      <c r="I69" t="s">
        <v>9</v>
      </c>
      <c r="J69" s="8">
        <v>0</v>
      </c>
    </row>
    <row r="70" spans="1:10" x14ac:dyDescent="0.3">
      <c r="A70" s="1">
        <v>44013</v>
      </c>
      <c r="B70">
        <v>2020</v>
      </c>
      <c r="C70" t="str">
        <f>TEXT(Transformed_Data\[[#This Row],[Date]],"mmm")</f>
        <v>Jul</v>
      </c>
      <c r="D70" s="8">
        <v>4722</v>
      </c>
      <c r="E70" s="8">
        <v>34868</v>
      </c>
      <c r="F70" s="8">
        <v>36000</v>
      </c>
      <c r="G70" s="8">
        <v>1132</v>
      </c>
      <c r="H70" s="2">
        <v>3.1444444444444442E-2</v>
      </c>
      <c r="I70" t="s">
        <v>10</v>
      </c>
      <c r="J70" s="8">
        <v>3455</v>
      </c>
    </row>
    <row r="71" spans="1:10" x14ac:dyDescent="0.3">
      <c r="A71" s="1">
        <v>44013</v>
      </c>
      <c r="B71">
        <v>2020</v>
      </c>
      <c r="C71" t="str">
        <f>TEXT(Transformed_Data\[[#This Row],[Date]],"mmm")</f>
        <v>Jul</v>
      </c>
      <c r="D71" s="8">
        <v>4722</v>
      </c>
      <c r="E71" s="8">
        <v>34868</v>
      </c>
      <c r="F71" s="8">
        <v>36000</v>
      </c>
      <c r="G71" s="8">
        <v>1132</v>
      </c>
      <c r="H71" s="2">
        <v>3.1444444444444442E-2</v>
      </c>
      <c r="I71" t="s">
        <v>11</v>
      </c>
      <c r="J71" s="8">
        <v>2585</v>
      </c>
    </row>
    <row r="72" spans="1:10" x14ac:dyDescent="0.3">
      <c r="A72" s="1">
        <v>44044</v>
      </c>
      <c r="B72">
        <v>2020</v>
      </c>
      <c r="C72" t="str">
        <f>TEXT(Transformed_Data\[[#This Row],[Date]],"mmm")</f>
        <v>Aug</v>
      </c>
      <c r="D72" s="8">
        <v>6982</v>
      </c>
      <c r="E72" s="8">
        <v>33420</v>
      </c>
      <c r="F72" s="8">
        <v>36000</v>
      </c>
      <c r="G72" s="8">
        <v>2580</v>
      </c>
      <c r="H72" s="2">
        <v>7.166666666666667E-2</v>
      </c>
      <c r="I72" t="s">
        <v>1</v>
      </c>
      <c r="J72" s="8">
        <v>6613</v>
      </c>
    </row>
    <row r="73" spans="1:10" x14ac:dyDescent="0.3">
      <c r="A73" s="1">
        <v>44044</v>
      </c>
      <c r="B73">
        <v>2020</v>
      </c>
      <c r="C73" t="str">
        <f>TEXT(Transformed_Data\[[#This Row],[Date]],"mmm")</f>
        <v>Aug</v>
      </c>
      <c r="D73" s="8">
        <v>6982</v>
      </c>
      <c r="E73" s="8">
        <v>33420</v>
      </c>
      <c r="F73" s="8">
        <v>36000</v>
      </c>
      <c r="G73" s="8">
        <v>2580</v>
      </c>
      <c r="H73" s="2">
        <v>7.166666666666667E-2</v>
      </c>
      <c r="I73" t="s">
        <v>2</v>
      </c>
      <c r="J73" s="8">
        <v>10000</v>
      </c>
    </row>
    <row r="74" spans="1:10" x14ac:dyDescent="0.3">
      <c r="A74" s="1">
        <v>44044</v>
      </c>
      <c r="B74">
        <v>2020</v>
      </c>
      <c r="C74" t="str">
        <f>TEXT(Transformed_Data\[[#This Row],[Date]],"mmm")</f>
        <v>Aug</v>
      </c>
      <c r="D74" s="8">
        <v>6982</v>
      </c>
      <c r="E74" s="8">
        <v>33420</v>
      </c>
      <c r="F74" s="8">
        <v>36000</v>
      </c>
      <c r="G74" s="8">
        <v>2580</v>
      </c>
      <c r="H74" s="2">
        <v>7.166666666666667E-2</v>
      </c>
      <c r="I74" t="s">
        <v>3</v>
      </c>
      <c r="J74" s="8">
        <v>3295</v>
      </c>
    </row>
    <row r="75" spans="1:10" x14ac:dyDescent="0.3">
      <c r="A75" s="1">
        <v>44044</v>
      </c>
      <c r="B75">
        <v>2020</v>
      </c>
      <c r="C75" t="str">
        <f>TEXT(Transformed_Data\[[#This Row],[Date]],"mmm")</f>
        <v>Aug</v>
      </c>
      <c r="D75" s="8">
        <v>6982</v>
      </c>
      <c r="E75" s="8">
        <v>33420</v>
      </c>
      <c r="F75" s="8">
        <v>36000</v>
      </c>
      <c r="G75" s="8">
        <v>2580</v>
      </c>
      <c r="H75" s="2">
        <v>7.166666666666667E-2</v>
      </c>
      <c r="I75" t="s">
        <v>4</v>
      </c>
      <c r="J75" s="8">
        <v>1009</v>
      </c>
    </row>
    <row r="76" spans="1:10" x14ac:dyDescent="0.3">
      <c r="A76" s="1">
        <v>44044</v>
      </c>
      <c r="B76">
        <v>2020</v>
      </c>
      <c r="C76" t="str">
        <f>TEXT(Transformed_Data\[[#This Row],[Date]],"mmm")</f>
        <v>Aug</v>
      </c>
      <c r="D76" s="8">
        <v>6982</v>
      </c>
      <c r="E76" s="8">
        <v>33420</v>
      </c>
      <c r="F76" s="8">
        <v>36000</v>
      </c>
      <c r="G76" s="8">
        <v>2580</v>
      </c>
      <c r="H76" s="2">
        <v>7.166666666666667E-2</v>
      </c>
      <c r="I76" t="s">
        <v>5</v>
      </c>
      <c r="J76" s="8">
        <v>1976</v>
      </c>
    </row>
    <row r="77" spans="1:10" x14ac:dyDescent="0.3">
      <c r="A77" s="1">
        <v>44044</v>
      </c>
      <c r="B77">
        <v>2020</v>
      </c>
      <c r="C77" t="str">
        <f>TEXT(Transformed_Data\[[#This Row],[Date]],"mmm")</f>
        <v>Aug</v>
      </c>
      <c r="D77" s="8">
        <v>6982</v>
      </c>
      <c r="E77" s="8">
        <v>33420</v>
      </c>
      <c r="F77" s="8">
        <v>36000</v>
      </c>
      <c r="G77" s="8">
        <v>2580</v>
      </c>
      <c r="H77" s="2">
        <v>7.166666666666667E-2</v>
      </c>
      <c r="I77" t="s">
        <v>6</v>
      </c>
      <c r="J77" s="8">
        <v>1929</v>
      </c>
    </row>
    <row r="78" spans="1:10" x14ac:dyDescent="0.3">
      <c r="A78" s="1">
        <v>44044</v>
      </c>
      <c r="B78">
        <v>2020</v>
      </c>
      <c r="C78" t="str">
        <f>TEXT(Transformed_Data\[[#This Row],[Date]],"mmm")</f>
        <v>Aug</v>
      </c>
      <c r="D78" s="8">
        <v>6982</v>
      </c>
      <c r="E78" s="8">
        <v>33420</v>
      </c>
      <c r="F78" s="8">
        <v>36000</v>
      </c>
      <c r="G78" s="8">
        <v>2580</v>
      </c>
      <c r="H78" s="2">
        <v>7.166666666666667E-2</v>
      </c>
      <c r="I78" t="s">
        <v>7</v>
      </c>
      <c r="J78" s="8">
        <v>4995</v>
      </c>
    </row>
    <row r="79" spans="1:10" x14ac:dyDescent="0.3">
      <c r="A79" s="1">
        <v>44044</v>
      </c>
      <c r="B79">
        <v>2020</v>
      </c>
      <c r="C79" t="str">
        <f>TEXT(Transformed_Data\[[#This Row],[Date]],"mmm")</f>
        <v>Aug</v>
      </c>
      <c r="D79" s="8">
        <v>6982</v>
      </c>
      <c r="E79" s="8">
        <v>33420</v>
      </c>
      <c r="F79" s="8">
        <v>36000</v>
      </c>
      <c r="G79" s="8">
        <v>2580</v>
      </c>
      <c r="H79" s="2">
        <v>7.166666666666667E-2</v>
      </c>
      <c r="I79" t="s">
        <v>9</v>
      </c>
      <c r="J79" s="8">
        <v>0</v>
      </c>
    </row>
    <row r="80" spans="1:10" x14ac:dyDescent="0.3">
      <c r="A80" s="1">
        <v>44044</v>
      </c>
      <c r="B80">
        <v>2020</v>
      </c>
      <c r="C80" t="str">
        <f>TEXT(Transformed_Data\[[#This Row],[Date]],"mmm")</f>
        <v>Aug</v>
      </c>
      <c r="D80" s="8">
        <v>6982</v>
      </c>
      <c r="E80" s="8">
        <v>33420</v>
      </c>
      <c r="F80" s="8">
        <v>36000</v>
      </c>
      <c r="G80" s="8">
        <v>2580</v>
      </c>
      <c r="H80" s="2">
        <v>7.166666666666667E-2</v>
      </c>
      <c r="I80" t="s">
        <v>10</v>
      </c>
      <c r="J80" s="8">
        <v>2202</v>
      </c>
    </row>
    <row r="81" spans="1:10" x14ac:dyDescent="0.3">
      <c r="A81" s="1">
        <v>44044</v>
      </c>
      <c r="B81">
        <v>2020</v>
      </c>
      <c r="C81" t="str">
        <f>TEXT(Transformed_Data\[[#This Row],[Date]],"mmm")</f>
        <v>Aug</v>
      </c>
      <c r="D81" s="8">
        <v>6982</v>
      </c>
      <c r="E81" s="8">
        <v>33420</v>
      </c>
      <c r="F81" s="8">
        <v>36000</v>
      </c>
      <c r="G81" s="8">
        <v>2580</v>
      </c>
      <c r="H81" s="2">
        <v>7.166666666666667E-2</v>
      </c>
      <c r="I81" t="s">
        <v>11</v>
      </c>
      <c r="J81" s="8">
        <v>1401</v>
      </c>
    </row>
    <row r="82" spans="1:10" x14ac:dyDescent="0.3">
      <c r="A82" s="1">
        <v>44075</v>
      </c>
      <c r="B82">
        <v>2020</v>
      </c>
      <c r="C82" t="str">
        <f>TEXT(Transformed_Data\[[#This Row],[Date]],"mmm")</f>
        <v>Sep</v>
      </c>
      <c r="D82" s="8">
        <v>3762</v>
      </c>
      <c r="E82" s="8">
        <v>31302</v>
      </c>
      <c r="F82" s="8">
        <v>36000</v>
      </c>
      <c r="G82" s="8">
        <v>4698</v>
      </c>
      <c r="H82" s="2">
        <v>0.1305</v>
      </c>
      <c r="I82" t="s">
        <v>1</v>
      </c>
      <c r="J82" s="8">
        <v>5981</v>
      </c>
    </row>
    <row r="83" spans="1:10" x14ac:dyDescent="0.3">
      <c r="A83" s="1">
        <v>44075</v>
      </c>
      <c r="B83">
        <v>2020</v>
      </c>
      <c r="C83" t="str">
        <f>TEXT(Transformed_Data\[[#This Row],[Date]],"mmm")</f>
        <v>Sep</v>
      </c>
      <c r="D83" s="8">
        <v>3762</v>
      </c>
      <c r="E83" s="8">
        <v>31302</v>
      </c>
      <c r="F83" s="8">
        <v>36000</v>
      </c>
      <c r="G83" s="8">
        <v>4698</v>
      </c>
      <c r="H83" s="2">
        <v>0.1305</v>
      </c>
      <c r="I83" t="s">
        <v>2</v>
      </c>
      <c r="J83" s="8">
        <v>10000</v>
      </c>
    </row>
    <row r="84" spans="1:10" x14ac:dyDescent="0.3">
      <c r="A84" s="1">
        <v>44075</v>
      </c>
      <c r="B84">
        <v>2020</v>
      </c>
      <c r="C84" t="str">
        <f>TEXT(Transformed_Data\[[#This Row],[Date]],"mmm")</f>
        <v>Sep</v>
      </c>
      <c r="D84" s="8">
        <v>3762</v>
      </c>
      <c r="E84" s="8">
        <v>31302</v>
      </c>
      <c r="F84" s="8">
        <v>36000</v>
      </c>
      <c r="G84" s="8">
        <v>4698</v>
      </c>
      <c r="H84" s="2">
        <v>0.1305</v>
      </c>
      <c r="I84" t="s">
        <v>3</v>
      </c>
      <c r="J84" s="8">
        <v>1769</v>
      </c>
    </row>
    <row r="85" spans="1:10" x14ac:dyDescent="0.3">
      <c r="A85" s="1">
        <v>44075</v>
      </c>
      <c r="B85">
        <v>2020</v>
      </c>
      <c r="C85" t="str">
        <f>TEXT(Transformed_Data\[[#This Row],[Date]],"mmm")</f>
        <v>Sep</v>
      </c>
      <c r="D85" s="8">
        <v>3762</v>
      </c>
      <c r="E85" s="8">
        <v>31302</v>
      </c>
      <c r="F85" s="8">
        <v>36000</v>
      </c>
      <c r="G85" s="8">
        <v>4698</v>
      </c>
      <c r="H85" s="2">
        <v>0.1305</v>
      </c>
      <c r="I85" t="s">
        <v>4</v>
      </c>
      <c r="J85" s="8">
        <v>1050</v>
      </c>
    </row>
    <row r="86" spans="1:10" x14ac:dyDescent="0.3">
      <c r="A86" s="1">
        <v>44075</v>
      </c>
      <c r="B86">
        <v>2020</v>
      </c>
      <c r="C86" t="str">
        <f>TEXT(Transformed_Data\[[#This Row],[Date]],"mmm")</f>
        <v>Sep</v>
      </c>
      <c r="D86" s="8">
        <v>3762</v>
      </c>
      <c r="E86" s="8">
        <v>31302</v>
      </c>
      <c r="F86" s="8">
        <v>36000</v>
      </c>
      <c r="G86" s="8">
        <v>4698</v>
      </c>
      <c r="H86" s="2">
        <v>0.1305</v>
      </c>
      <c r="I86" t="s">
        <v>5</v>
      </c>
      <c r="J86" s="8">
        <v>2315</v>
      </c>
    </row>
    <row r="87" spans="1:10" x14ac:dyDescent="0.3">
      <c r="A87" s="1">
        <v>44075</v>
      </c>
      <c r="B87">
        <v>2020</v>
      </c>
      <c r="C87" t="str">
        <f>TEXT(Transformed_Data\[[#This Row],[Date]],"mmm")</f>
        <v>Sep</v>
      </c>
      <c r="D87" s="8">
        <v>3762</v>
      </c>
      <c r="E87" s="8">
        <v>31302</v>
      </c>
      <c r="F87" s="8">
        <v>36000</v>
      </c>
      <c r="G87" s="8">
        <v>4698</v>
      </c>
      <c r="H87" s="2">
        <v>0.1305</v>
      </c>
      <c r="I87" t="s">
        <v>6</v>
      </c>
      <c r="J87" s="8">
        <v>1795</v>
      </c>
    </row>
    <row r="88" spans="1:10" x14ac:dyDescent="0.3">
      <c r="A88" s="1">
        <v>44075</v>
      </c>
      <c r="B88">
        <v>2020</v>
      </c>
      <c r="C88" t="str">
        <f>TEXT(Transformed_Data\[[#This Row],[Date]],"mmm")</f>
        <v>Sep</v>
      </c>
      <c r="D88" s="8">
        <v>3762</v>
      </c>
      <c r="E88" s="8">
        <v>31302</v>
      </c>
      <c r="F88" s="8">
        <v>36000</v>
      </c>
      <c r="G88" s="8">
        <v>4698</v>
      </c>
      <c r="H88" s="2">
        <v>0.1305</v>
      </c>
      <c r="I88" t="s">
        <v>7</v>
      </c>
      <c r="J88" s="8">
        <v>3952</v>
      </c>
    </row>
    <row r="89" spans="1:10" x14ac:dyDescent="0.3">
      <c r="A89" s="1">
        <v>44075</v>
      </c>
      <c r="B89">
        <v>2020</v>
      </c>
      <c r="C89" t="str">
        <f>TEXT(Transformed_Data\[[#This Row],[Date]],"mmm")</f>
        <v>Sep</v>
      </c>
      <c r="D89" s="8">
        <v>3762</v>
      </c>
      <c r="E89" s="8">
        <v>31302</v>
      </c>
      <c r="F89" s="8">
        <v>36000</v>
      </c>
      <c r="G89" s="8">
        <v>4698</v>
      </c>
      <c r="H89" s="2">
        <v>0.1305</v>
      </c>
      <c r="I89" t="s">
        <v>9</v>
      </c>
      <c r="J89" s="8">
        <v>0</v>
      </c>
    </row>
    <row r="90" spans="1:10" x14ac:dyDescent="0.3">
      <c r="A90" s="1">
        <v>44075</v>
      </c>
      <c r="B90">
        <v>2020</v>
      </c>
      <c r="C90" t="str">
        <f>TEXT(Transformed_Data\[[#This Row],[Date]],"mmm")</f>
        <v>Sep</v>
      </c>
      <c r="D90" s="8">
        <v>3762</v>
      </c>
      <c r="E90" s="8">
        <v>31302</v>
      </c>
      <c r="F90" s="8">
        <v>36000</v>
      </c>
      <c r="G90" s="8">
        <v>4698</v>
      </c>
      <c r="H90" s="2">
        <v>0.1305</v>
      </c>
      <c r="I90" t="s">
        <v>10</v>
      </c>
      <c r="J90" s="8">
        <v>1955</v>
      </c>
    </row>
    <row r="91" spans="1:10" x14ac:dyDescent="0.3">
      <c r="A91" s="1">
        <v>44075</v>
      </c>
      <c r="B91">
        <v>2020</v>
      </c>
      <c r="C91" t="str">
        <f>TEXT(Transformed_Data\[[#This Row],[Date]],"mmm")</f>
        <v>Sep</v>
      </c>
      <c r="D91" s="8">
        <v>3762</v>
      </c>
      <c r="E91" s="8">
        <v>31302</v>
      </c>
      <c r="F91" s="8">
        <v>36000</v>
      </c>
      <c r="G91" s="8">
        <v>4698</v>
      </c>
      <c r="H91" s="2">
        <v>0.1305</v>
      </c>
      <c r="I91" t="s">
        <v>11</v>
      </c>
      <c r="J91" s="8">
        <v>2485</v>
      </c>
    </row>
    <row r="92" spans="1:10" x14ac:dyDescent="0.3">
      <c r="A92" s="1">
        <v>44105</v>
      </c>
      <c r="B92">
        <v>2020</v>
      </c>
      <c r="C92" t="str">
        <f>TEXT(Transformed_Data\[[#This Row],[Date]],"mmm")</f>
        <v>Oct</v>
      </c>
      <c r="D92" s="8">
        <v>4611</v>
      </c>
      <c r="E92" s="8">
        <v>33158</v>
      </c>
      <c r="F92" s="8">
        <v>36000</v>
      </c>
      <c r="G92" s="8">
        <v>2842</v>
      </c>
      <c r="H92" s="2">
        <v>7.8944444444444442E-2</v>
      </c>
      <c r="I92" t="s">
        <v>1</v>
      </c>
      <c r="J92" s="8">
        <v>6343</v>
      </c>
    </row>
    <row r="93" spans="1:10" x14ac:dyDescent="0.3">
      <c r="A93" s="1">
        <v>44105</v>
      </c>
      <c r="B93">
        <v>2020</v>
      </c>
      <c r="C93" t="str">
        <f>TEXT(Transformed_Data\[[#This Row],[Date]],"mmm")</f>
        <v>Oct</v>
      </c>
      <c r="D93" s="8">
        <v>4611</v>
      </c>
      <c r="E93" s="8">
        <v>33158</v>
      </c>
      <c r="F93" s="8">
        <v>36000</v>
      </c>
      <c r="G93" s="8">
        <v>2842</v>
      </c>
      <c r="H93" s="2">
        <v>7.8944444444444442E-2</v>
      </c>
      <c r="I93" t="s">
        <v>2</v>
      </c>
      <c r="J93" s="8">
        <v>10000</v>
      </c>
    </row>
    <row r="94" spans="1:10" x14ac:dyDescent="0.3">
      <c r="A94" s="1">
        <v>44105</v>
      </c>
      <c r="B94">
        <v>2020</v>
      </c>
      <c r="C94" t="str">
        <f>TEXT(Transformed_Data\[[#This Row],[Date]],"mmm")</f>
        <v>Oct</v>
      </c>
      <c r="D94" s="8">
        <v>4611</v>
      </c>
      <c r="E94" s="8">
        <v>33158</v>
      </c>
      <c r="F94" s="8">
        <v>36000</v>
      </c>
      <c r="G94" s="8">
        <v>2842</v>
      </c>
      <c r="H94" s="2">
        <v>7.8944444444444442E-2</v>
      </c>
      <c r="I94" t="s">
        <v>3</v>
      </c>
      <c r="J94" s="8">
        <v>3272</v>
      </c>
    </row>
    <row r="95" spans="1:10" x14ac:dyDescent="0.3">
      <c r="A95" s="1">
        <v>44105</v>
      </c>
      <c r="B95">
        <v>2020</v>
      </c>
      <c r="C95" t="str">
        <f>TEXT(Transformed_Data\[[#This Row],[Date]],"mmm")</f>
        <v>Oct</v>
      </c>
      <c r="D95" s="8">
        <v>4611</v>
      </c>
      <c r="E95" s="8">
        <v>33158</v>
      </c>
      <c r="F95" s="8">
        <v>36000</v>
      </c>
      <c r="G95" s="8">
        <v>2842</v>
      </c>
      <c r="H95" s="2">
        <v>7.8944444444444442E-2</v>
      </c>
      <c r="I95" t="s">
        <v>4</v>
      </c>
      <c r="J95" s="8">
        <v>1037</v>
      </c>
    </row>
    <row r="96" spans="1:10" x14ac:dyDescent="0.3">
      <c r="A96" s="1">
        <v>44105</v>
      </c>
      <c r="B96">
        <v>2020</v>
      </c>
      <c r="C96" t="str">
        <f>TEXT(Transformed_Data\[[#This Row],[Date]],"mmm")</f>
        <v>Oct</v>
      </c>
      <c r="D96" s="8">
        <v>4611</v>
      </c>
      <c r="E96" s="8">
        <v>33158</v>
      </c>
      <c r="F96" s="8">
        <v>36000</v>
      </c>
      <c r="G96" s="8">
        <v>2842</v>
      </c>
      <c r="H96" s="2">
        <v>7.8944444444444442E-2</v>
      </c>
      <c r="I96" t="s">
        <v>5</v>
      </c>
      <c r="J96" s="8">
        <v>2378</v>
      </c>
    </row>
    <row r="97" spans="1:10" x14ac:dyDescent="0.3">
      <c r="A97" s="1">
        <v>44105</v>
      </c>
      <c r="B97">
        <v>2020</v>
      </c>
      <c r="C97" t="str">
        <f>TEXT(Transformed_Data\[[#This Row],[Date]],"mmm")</f>
        <v>Oct</v>
      </c>
      <c r="D97" s="8">
        <v>4611</v>
      </c>
      <c r="E97" s="8">
        <v>33158</v>
      </c>
      <c r="F97" s="8">
        <v>36000</v>
      </c>
      <c r="G97" s="8">
        <v>2842</v>
      </c>
      <c r="H97" s="2">
        <v>7.8944444444444442E-2</v>
      </c>
      <c r="I97" t="s">
        <v>6</v>
      </c>
      <c r="J97" s="8">
        <v>1519</v>
      </c>
    </row>
    <row r="98" spans="1:10" x14ac:dyDescent="0.3">
      <c r="A98" s="1">
        <v>44105</v>
      </c>
      <c r="B98">
        <v>2020</v>
      </c>
      <c r="C98" t="str">
        <f>TEXT(Transformed_Data\[[#This Row],[Date]],"mmm")</f>
        <v>Oct</v>
      </c>
      <c r="D98" s="8">
        <v>4611</v>
      </c>
      <c r="E98" s="8">
        <v>33158</v>
      </c>
      <c r="F98" s="8">
        <v>36000</v>
      </c>
      <c r="G98" s="8">
        <v>2842</v>
      </c>
      <c r="H98" s="2">
        <v>7.8944444444444442E-2</v>
      </c>
      <c r="I98" t="s">
        <v>7</v>
      </c>
      <c r="J98" s="8">
        <v>4242</v>
      </c>
    </row>
    <row r="99" spans="1:10" x14ac:dyDescent="0.3">
      <c r="A99" s="1">
        <v>44105</v>
      </c>
      <c r="B99">
        <v>2020</v>
      </c>
      <c r="C99" t="str">
        <f>TEXT(Transformed_Data\[[#This Row],[Date]],"mmm")</f>
        <v>Oct</v>
      </c>
      <c r="D99" s="8">
        <v>4611</v>
      </c>
      <c r="E99" s="8">
        <v>33158</v>
      </c>
      <c r="F99" s="8">
        <v>36000</v>
      </c>
      <c r="G99" s="8">
        <v>2842</v>
      </c>
      <c r="H99" s="2">
        <v>7.8944444444444442E-2</v>
      </c>
      <c r="I99" t="s">
        <v>9</v>
      </c>
      <c r="J99" s="8">
        <v>0</v>
      </c>
    </row>
    <row r="100" spans="1:10" x14ac:dyDescent="0.3">
      <c r="A100" s="1">
        <v>44105</v>
      </c>
      <c r="B100">
        <v>2020</v>
      </c>
      <c r="C100" t="str">
        <f>TEXT(Transformed_Data\[[#This Row],[Date]],"mmm")</f>
        <v>Oct</v>
      </c>
      <c r="D100" s="8">
        <v>4611</v>
      </c>
      <c r="E100" s="8">
        <v>33158</v>
      </c>
      <c r="F100" s="8">
        <v>36000</v>
      </c>
      <c r="G100" s="8">
        <v>2842</v>
      </c>
      <c r="H100" s="2">
        <v>7.8944444444444442E-2</v>
      </c>
      <c r="I100" t="s">
        <v>10</v>
      </c>
      <c r="J100" s="8">
        <v>2576</v>
      </c>
    </row>
    <row r="101" spans="1:10" x14ac:dyDescent="0.3">
      <c r="A101" s="1">
        <v>44105</v>
      </c>
      <c r="B101">
        <v>2020</v>
      </c>
      <c r="C101" t="str">
        <f>TEXT(Transformed_Data\[[#This Row],[Date]],"mmm")</f>
        <v>Oct</v>
      </c>
      <c r="D101" s="8">
        <v>4611</v>
      </c>
      <c r="E101" s="8">
        <v>33158</v>
      </c>
      <c r="F101" s="8">
        <v>36000</v>
      </c>
      <c r="G101" s="8">
        <v>2842</v>
      </c>
      <c r="H101" s="2">
        <v>7.8944444444444442E-2</v>
      </c>
      <c r="I101" t="s">
        <v>11</v>
      </c>
      <c r="J101" s="8">
        <v>1791</v>
      </c>
    </row>
    <row r="102" spans="1:10" x14ac:dyDescent="0.3">
      <c r="A102" s="1">
        <v>44136</v>
      </c>
      <c r="B102">
        <v>2020</v>
      </c>
      <c r="C102" t="str">
        <f>TEXT(Transformed_Data\[[#This Row],[Date]],"mmm")</f>
        <v>Nov</v>
      </c>
      <c r="D102" s="8">
        <v>6380</v>
      </c>
      <c r="E102" s="8">
        <v>30425</v>
      </c>
      <c r="F102" s="8">
        <v>36000</v>
      </c>
      <c r="G102" s="8">
        <v>5575</v>
      </c>
      <c r="H102" s="2">
        <v>0.15486111111111112</v>
      </c>
      <c r="I102" t="s">
        <v>1</v>
      </c>
      <c r="J102" s="8">
        <v>4379</v>
      </c>
    </row>
    <row r="103" spans="1:10" x14ac:dyDescent="0.3">
      <c r="A103" s="1">
        <v>44136</v>
      </c>
      <c r="B103">
        <v>2020</v>
      </c>
      <c r="C103" t="str">
        <f>TEXT(Transformed_Data\[[#This Row],[Date]],"mmm")</f>
        <v>Nov</v>
      </c>
      <c r="D103" s="8">
        <v>6380</v>
      </c>
      <c r="E103" s="8">
        <v>30425</v>
      </c>
      <c r="F103" s="8">
        <v>36000</v>
      </c>
      <c r="G103" s="8">
        <v>5575</v>
      </c>
      <c r="H103" s="2">
        <v>0.15486111111111112</v>
      </c>
      <c r="I103" t="s">
        <v>2</v>
      </c>
      <c r="J103" s="8">
        <v>10000</v>
      </c>
    </row>
    <row r="104" spans="1:10" x14ac:dyDescent="0.3">
      <c r="A104" s="1">
        <v>44136</v>
      </c>
      <c r="B104">
        <v>2020</v>
      </c>
      <c r="C104" t="str">
        <f>TEXT(Transformed_Data\[[#This Row],[Date]],"mmm")</f>
        <v>Nov</v>
      </c>
      <c r="D104" s="8">
        <v>6380</v>
      </c>
      <c r="E104" s="8">
        <v>30425</v>
      </c>
      <c r="F104" s="8">
        <v>36000</v>
      </c>
      <c r="G104" s="8">
        <v>5575</v>
      </c>
      <c r="H104" s="2">
        <v>0.15486111111111112</v>
      </c>
      <c r="I104" t="s">
        <v>3</v>
      </c>
      <c r="J104" s="8">
        <v>2564</v>
      </c>
    </row>
    <row r="105" spans="1:10" x14ac:dyDescent="0.3">
      <c r="A105" s="1">
        <v>44136</v>
      </c>
      <c r="B105">
        <v>2020</v>
      </c>
      <c r="C105" t="str">
        <f>TEXT(Transformed_Data\[[#This Row],[Date]],"mmm")</f>
        <v>Nov</v>
      </c>
      <c r="D105" s="8">
        <v>6380</v>
      </c>
      <c r="E105" s="8">
        <v>30425</v>
      </c>
      <c r="F105" s="8">
        <v>36000</v>
      </c>
      <c r="G105" s="8">
        <v>5575</v>
      </c>
      <c r="H105" s="2">
        <v>0.15486111111111112</v>
      </c>
      <c r="I105" t="s">
        <v>4</v>
      </c>
      <c r="J105" s="8">
        <v>856</v>
      </c>
    </row>
    <row r="106" spans="1:10" x14ac:dyDescent="0.3">
      <c r="A106" s="1">
        <v>44136</v>
      </c>
      <c r="B106">
        <v>2020</v>
      </c>
      <c r="C106" t="str">
        <f>TEXT(Transformed_Data\[[#This Row],[Date]],"mmm")</f>
        <v>Nov</v>
      </c>
      <c r="D106" s="8">
        <v>6380</v>
      </c>
      <c r="E106" s="8">
        <v>30425</v>
      </c>
      <c r="F106" s="8">
        <v>36000</v>
      </c>
      <c r="G106" s="8">
        <v>5575</v>
      </c>
      <c r="H106" s="2">
        <v>0.15486111111111112</v>
      </c>
      <c r="I106" t="s">
        <v>5</v>
      </c>
      <c r="J106" s="8">
        <v>1514</v>
      </c>
    </row>
    <row r="107" spans="1:10" x14ac:dyDescent="0.3">
      <c r="A107" s="1">
        <v>44136</v>
      </c>
      <c r="B107">
        <v>2020</v>
      </c>
      <c r="C107" t="str">
        <f>TEXT(Transformed_Data\[[#This Row],[Date]],"mmm")</f>
        <v>Nov</v>
      </c>
      <c r="D107" s="8">
        <v>6380</v>
      </c>
      <c r="E107" s="8">
        <v>30425</v>
      </c>
      <c r="F107" s="8">
        <v>36000</v>
      </c>
      <c r="G107" s="8">
        <v>5575</v>
      </c>
      <c r="H107" s="2">
        <v>0.15486111111111112</v>
      </c>
      <c r="I107" t="s">
        <v>6</v>
      </c>
      <c r="J107" s="8">
        <v>1292</v>
      </c>
    </row>
    <row r="108" spans="1:10" x14ac:dyDescent="0.3">
      <c r="A108" s="1">
        <v>44136</v>
      </c>
      <c r="B108">
        <v>2020</v>
      </c>
      <c r="C108" t="str">
        <f>TEXT(Transformed_Data\[[#This Row],[Date]],"mmm")</f>
        <v>Nov</v>
      </c>
      <c r="D108" s="8">
        <v>6380</v>
      </c>
      <c r="E108" s="8">
        <v>30425</v>
      </c>
      <c r="F108" s="8">
        <v>36000</v>
      </c>
      <c r="G108" s="8">
        <v>5575</v>
      </c>
      <c r="H108" s="2">
        <v>0.15486111111111112</v>
      </c>
      <c r="I108" t="s">
        <v>7</v>
      </c>
      <c r="J108" s="8">
        <v>5376</v>
      </c>
    </row>
    <row r="109" spans="1:10" x14ac:dyDescent="0.3">
      <c r="A109" s="1">
        <v>44136</v>
      </c>
      <c r="B109">
        <v>2020</v>
      </c>
      <c r="C109" t="str">
        <f>TEXT(Transformed_Data\[[#This Row],[Date]],"mmm")</f>
        <v>Nov</v>
      </c>
      <c r="D109" s="8">
        <v>6380</v>
      </c>
      <c r="E109" s="8">
        <v>30425</v>
      </c>
      <c r="F109" s="8">
        <v>36000</v>
      </c>
      <c r="G109" s="8">
        <v>5575</v>
      </c>
      <c r="H109" s="2">
        <v>0.15486111111111112</v>
      </c>
      <c r="I109" t="s">
        <v>9</v>
      </c>
      <c r="J109" s="8">
        <v>0</v>
      </c>
    </row>
    <row r="110" spans="1:10" x14ac:dyDescent="0.3">
      <c r="A110" s="1">
        <v>44136</v>
      </c>
      <c r="B110">
        <v>2020</v>
      </c>
      <c r="C110" t="str">
        <f>TEXT(Transformed_Data\[[#This Row],[Date]],"mmm")</f>
        <v>Nov</v>
      </c>
      <c r="D110" s="8">
        <v>6380</v>
      </c>
      <c r="E110" s="8">
        <v>30425</v>
      </c>
      <c r="F110" s="8">
        <v>36000</v>
      </c>
      <c r="G110" s="8">
        <v>5575</v>
      </c>
      <c r="H110" s="2">
        <v>0.15486111111111112</v>
      </c>
      <c r="I110" t="s">
        <v>10</v>
      </c>
      <c r="J110" s="8">
        <v>1564</v>
      </c>
    </row>
    <row r="111" spans="1:10" x14ac:dyDescent="0.3">
      <c r="A111" s="1">
        <v>44136</v>
      </c>
      <c r="B111">
        <v>2020</v>
      </c>
      <c r="C111" t="str">
        <f>TEXT(Transformed_Data\[[#This Row],[Date]],"mmm")</f>
        <v>Nov</v>
      </c>
      <c r="D111" s="8">
        <v>6380</v>
      </c>
      <c r="E111" s="8">
        <v>30425</v>
      </c>
      <c r="F111" s="8">
        <v>36000</v>
      </c>
      <c r="G111" s="8">
        <v>5575</v>
      </c>
      <c r="H111" s="2">
        <v>0.15486111111111112</v>
      </c>
      <c r="I111" t="s">
        <v>11</v>
      </c>
      <c r="J111" s="8">
        <v>2880</v>
      </c>
    </row>
    <row r="112" spans="1:10" x14ac:dyDescent="0.3">
      <c r="A112" s="1">
        <v>44166</v>
      </c>
      <c r="B112">
        <v>2020</v>
      </c>
      <c r="C112" t="str">
        <f>TEXT(Transformed_Data\[[#This Row],[Date]],"mmm")</f>
        <v>Dec</v>
      </c>
      <c r="D112" s="8">
        <v>6444</v>
      </c>
      <c r="E112" s="8">
        <v>32363</v>
      </c>
      <c r="F112" s="8">
        <v>36000</v>
      </c>
      <c r="G112" s="8">
        <v>3637</v>
      </c>
      <c r="H112" s="2">
        <v>0.10102777777777777</v>
      </c>
      <c r="I112" t="s">
        <v>1</v>
      </c>
      <c r="J112" s="8">
        <v>6027</v>
      </c>
    </row>
    <row r="113" spans="1:10" x14ac:dyDescent="0.3">
      <c r="A113" s="1">
        <v>44166</v>
      </c>
      <c r="B113">
        <v>2020</v>
      </c>
      <c r="C113" t="str">
        <f>TEXT(Transformed_Data\[[#This Row],[Date]],"mmm")</f>
        <v>Dec</v>
      </c>
      <c r="D113" s="8">
        <v>6444</v>
      </c>
      <c r="E113" s="8">
        <v>32363</v>
      </c>
      <c r="F113" s="8">
        <v>36000</v>
      </c>
      <c r="G113" s="8">
        <v>3637</v>
      </c>
      <c r="H113" s="2">
        <v>0.10102777777777777</v>
      </c>
      <c r="I113" t="s">
        <v>2</v>
      </c>
      <c r="J113" s="8">
        <v>10000</v>
      </c>
    </row>
    <row r="114" spans="1:10" x14ac:dyDescent="0.3">
      <c r="A114" s="1">
        <v>44166</v>
      </c>
      <c r="B114">
        <v>2020</v>
      </c>
      <c r="C114" t="str">
        <f>TEXT(Transformed_Data\[[#This Row],[Date]],"mmm")</f>
        <v>Dec</v>
      </c>
      <c r="D114" s="8">
        <v>6444</v>
      </c>
      <c r="E114" s="8">
        <v>32363</v>
      </c>
      <c r="F114" s="8">
        <v>36000</v>
      </c>
      <c r="G114" s="8">
        <v>3637</v>
      </c>
      <c r="H114" s="2">
        <v>0.10102777777777777</v>
      </c>
      <c r="I114" t="s">
        <v>3</v>
      </c>
      <c r="J114" s="8">
        <v>2995</v>
      </c>
    </row>
    <row r="115" spans="1:10" x14ac:dyDescent="0.3">
      <c r="A115" s="1">
        <v>44166</v>
      </c>
      <c r="B115">
        <v>2020</v>
      </c>
      <c r="C115" t="str">
        <f>TEXT(Transformed_Data\[[#This Row],[Date]],"mmm")</f>
        <v>Dec</v>
      </c>
      <c r="D115" s="8">
        <v>6444</v>
      </c>
      <c r="E115" s="8">
        <v>32363</v>
      </c>
      <c r="F115" s="8">
        <v>36000</v>
      </c>
      <c r="G115" s="8">
        <v>3637</v>
      </c>
      <c r="H115" s="2">
        <v>0.10102777777777777</v>
      </c>
      <c r="I115" t="s">
        <v>4</v>
      </c>
      <c r="J115" s="8">
        <v>762</v>
      </c>
    </row>
    <row r="116" spans="1:10" x14ac:dyDescent="0.3">
      <c r="A116" s="1">
        <v>44166</v>
      </c>
      <c r="B116">
        <v>2020</v>
      </c>
      <c r="C116" t="str">
        <f>TEXT(Transformed_Data\[[#This Row],[Date]],"mmm")</f>
        <v>Dec</v>
      </c>
      <c r="D116" s="8">
        <v>6444</v>
      </c>
      <c r="E116" s="8">
        <v>32363</v>
      </c>
      <c r="F116" s="8">
        <v>36000</v>
      </c>
      <c r="G116" s="8">
        <v>3637</v>
      </c>
      <c r="H116" s="2">
        <v>0.10102777777777777</v>
      </c>
      <c r="I116" t="s">
        <v>5</v>
      </c>
      <c r="J116" s="8">
        <v>1638</v>
      </c>
    </row>
    <row r="117" spans="1:10" x14ac:dyDescent="0.3">
      <c r="A117" s="1">
        <v>44166</v>
      </c>
      <c r="B117">
        <v>2020</v>
      </c>
      <c r="C117" t="str">
        <f>TEXT(Transformed_Data\[[#This Row],[Date]],"mmm")</f>
        <v>Dec</v>
      </c>
      <c r="D117" s="8">
        <v>6444</v>
      </c>
      <c r="E117" s="8">
        <v>32363</v>
      </c>
      <c r="F117" s="8">
        <v>36000</v>
      </c>
      <c r="G117" s="8">
        <v>3637</v>
      </c>
      <c r="H117" s="2">
        <v>0.10102777777777777</v>
      </c>
      <c r="I117" t="s">
        <v>6</v>
      </c>
      <c r="J117" s="8">
        <v>1447</v>
      </c>
    </row>
    <row r="118" spans="1:10" x14ac:dyDescent="0.3">
      <c r="A118" s="1">
        <v>44166</v>
      </c>
      <c r="B118">
        <v>2020</v>
      </c>
      <c r="C118" t="str">
        <f>TEXT(Transformed_Data\[[#This Row],[Date]],"mmm")</f>
        <v>Dec</v>
      </c>
      <c r="D118" s="8">
        <v>6444</v>
      </c>
      <c r="E118" s="8">
        <v>32363</v>
      </c>
      <c r="F118" s="8">
        <v>36000</v>
      </c>
      <c r="G118" s="8">
        <v>3637</v>
      </c>
      <c r="H118" s="2">
        <v>0.10102777777777777</v>
      </c>
      <c r="I118" t="s">
        <v>7</v>
      </c>
      <c r="J118" s="8">
        <v>4880</v>
      </c>
    </row>
    <row r="119" spans="1:10" x14ac:dyDescent="0.3">
      <c r="A119" s="1">
        <v>44166</v>
      </c>
      <c r="B119">
        <v>2020</v>
      </c>
      <c r="C119" t="str">
        <f>TEXT(Transformed_Data\[[#This Row],[Date]],"mmm")</f>
        <v>Dec</v>
      </c>
      <c r="D119" s="8">
        <v>6444</v>
      </c>
      <c r="E119" s="8">
        <v>32363</v>
      </c>
      <c r="F119" s="8">
        <v>36000</v>
      </c>
      <c r="G119" s="8">
        <v>3637</v>
      </c>
      <c r="H119" s="2">
        <v>0.10102777777777777</v>
      </c>
      <c r="I119" t="s">
        <v>9</v>
      </c>
      <c r="J119" s="8">
        <v>0</v>
      </c>
    </row>
    <row r="120" spans="1:10" x14ac:dyDescent="0.3">
      <c r="A120" s="1">
        <v>44166</v>
      </c>
      <c r="B120">
        <v>2020</v>
      </c>
      <c r="C120" t="str">
        <f>TEXT(Transformed_Data\[[#This Row],[Date]],"mmm")</f>
        <v>Dec</v>
      </c>
      <c r="D120" s="8">
        <v>6444</v>
      </c>
      <c r="E120" s="8">
        <v>32363</v>
      </c>
      <c r="F120" s="8">
        <v>36000</v>
      </c>
      <c r="G120" s="8">
        <v>3637</v>
      </c>
      <c r="H120" s="2">
        <v>0.10102777777777777</v>
      </c>
      <c r="I120" t="s">
        <v>10</v>
      </c>
      <c r="J120" s="8">
        <v>3022</v>
      </c>
    </row>
    <row r="121" spans="1:10" x14ac:dyDescent="0.3">
      <c r="A121" s="1">
        <v>44166</v>
      </c>
      <c r="B121">
        <v>2020</v>
      </c>
      <c r="C121" t="str">
        <f>TEXT(Transformed_Data\[[#This Row],[Date]],"mmm")</f>
        <v>Dec</v>
      </c>
      <c r="D121" s="8">
        <v>6444</v>
      </c>
      <c r="E121" s="8">
        <v>32363</v>
      </c>
      <c r="F121" s="8">
        <v>36000</v>
      </c>
      <c r="G121" s="8">
        <v>3637</v>
      </c>
      <c r="H121" s="2">
        <v>0.10102777777777777</v>
      </c>
      <c r="I121" t="s">
        <v>11</v>
      </c>
      <c r="J121" s="8">
        <v>1592</v>
      </c>
    </row>
    <row r="122" spans="1:10" x14ac:dyDescent="0.3">
      <c r="A122" s="1">
        <v>44197</v>
      </c>
      <c r="B122">
        <v>2021</v>
      </c>
      <c r="C122" t="str">
        <f>TEXT(Transformed_Data\[[#This Row],[Date]],"mmm")</f>
        <v>Jan</v>
      </c>
      <c r="D122" s="8">
        <v>4791</v>
      </c>
      <c r="E122" s="8">
        <v>29795</v>
      </c>
      <c r="F122" s="8">
        <v>36000</v>
      </c>
      <c r="G122" s="8">
        <v>6205</v>
      </c>
      <c r="H122" s="2">
        <v>0.1723611111111111</v>
      </c>
      <c r="I122" t="s">
        <v>1</v>
      </c>
      <c r="J122" s="8">
        <v>4378</v>
      </c>
    </row>
    <row r="123" spans="1:10" x14ac:dyDescent="0.3">
      <c r="A123" s="1">
        <v>44197</v>
      </c>
      <c r="B123">
        <v>2021</v>
      </c>
      <c r="C123" t="str">
        <f>TEXT(Transformed_Data\[[#This Row],[Date]],"mmm")</f>
        <v>Jan</v>
      </c>
      <c r="D123" s="8">
        <v>4791</v>
      </c>
      <c r="E123" s="8">
        <v>29795</v>
      </c>
      <c r="F123" s="8">
        <v>36000</v>
      </c>
      <c r="G123" s="8">
        <v>6205</v>
      </c>
      <c r="H123" s="2">
        <v>0.1723611111111111</v>
      </c>
      <c r="I123" t="s">
        <v>2</v>
      </c>
      <c r="J123" s="8">
        <v>10000</v>
      </c>
    </row>
    <row r="124" spans="1:10" x14ac:dyDescent="0.3">
      <c r="A124" s="1">
        <v>44197</v>
      </c>
      <c r="B124">
        <v>2021</v>
      </c>
      <c r="C124" t="str">
        <f>TEXT(Transformed_Data\[[#This Row],[Date]],"mmm")</f>
        <v>Jan</v>
      </c>
      <c r="D124" s="8">
        <v>4791</v>
      </c>
      <c r="E124" s="8">
        <v>29795</v>
      </c>
      <c r="F124" s="8">
        <v>36000</v>
      </c>
      <c r="G124" s="8">
        <v>6205</v>
      </c>
      <c r="H124" s="2">
        <v>0.1723611111111111</v>
      </c>
      <c r="I124" t="s">
        <v>3</v>
      </c>
      <c r="J124" s="8">
        <v>2517</v>
      </c>
    </row>
    <row r="125" spans="1:10" x14ac:dyDescent="0.3">
      <c r="A125" s="1">
        <v>44197</v>
      </c>
      <c r="B125">
        <v>2021</v>
      </c>
      <c r="C125" t="str">
        <f>TEXT(Transformed_Data\[[#This Row],[Date]],"mmm")</f>
        <v>Jan</v>
      </c>
      <c r="D125" s="8">
        <v>4791</v>
      </c>
      <c r="E125" s="8">
        <v>29795</v>
      </c>
      <c r="F125" s="8">
        <v>36000</v>
      </c>
      <c r="G125" s="8">
        <v>6205</v>
      </c>
      <c r="H125" s="2">
        <v>0.1723611111111111</v>
      </c>
      <c r="I125" t="s">
        <v>4</v>
      </c>
      <c r="J125" s="8">
        <v>740</v>
      </c>
    </row>
    <row r="126" spans="1:10" x14ac:dyDescent="0.3">
      <c r="A126" s="1">
        <v>44197</v>
      </c>
      <c r="B126">
        <v>2021</v>
      </c>
      <c r="C126" t="str">
        <f>TEXT(Transformed_Data\[[#This Row],[Date]],"mmm")</f>
        <v>Jan</v>
      </c>
      <c r="D126" s="8">
        <v>4791</v>
      </c>
      <c r="E126" s="8">
        <v>29795</v>
      </c>
      <c r="F126" s="8">
        <v>36000</v>
      </c>
      <c r="G126" s="8">
        <v>6205</v>
      </c>
      <c r="H126" s="2">
        <v>0.1723611111111111</v>
      </c>
      <c r="I126" t="s">
        <v>5</v>
      </c>
      <c r="J126" s="8">
        <v>1527</v>
      </c>
    </row>
    <row r="127" spans="1:10" x14ac:dyDescent="0.3">
      <c r="A127" s="1">
        <v>44197</v>
      </c>
      <c r="B127">
        <v>2021</v>
      </c>
      <c r="C127" t="str">
        <f>TEXT(Transformed_Data\[[#This Row],[Date]],"mmm")</f>
        <v>Jan</v>
      </c>
      <c r="D127" s="8">
        <v>4791</v>
      </c>
      <c r="E127" s="8">
        <v>29795</v>
      </c>
      <c r="F127" s="8">
        <v>36000</v>
      </c>
      <c r="G127" s="8">
        <v>6205</v>
      </c>
      <c r="H127" s="2">
        <v>0.1723611111111111</v>
      </c>
      <c r="I127" t="s">
        <v>6</v>
      </c>
      <c r="J127" s="8">
        <v>1030</v>
      </c>
    </row>
    <row r="128" spans="1:10" x14ac:dyDescent="0.3">
      <c r="A128" s="1">
        <v>44197</v>
      </c>
      <c r="B128">
        <v>2021</v>
      </c>
      <c r="C128" t="str">
        <f>TEXT(Transformed_Data\[[#This Row],[Date]],"mmm")</f>
        <v>Jan</v>
      </c>
      <c r="D128" s="8">
        <v>4791</v>
      </c>
      <c r="E128" s="8">
        <v>29795</v>
      </c>
      <c r="F128" s="8">
        <v>36000</v>
      </c>
      <c r="G128" s="8">
        <v>6205</v>
      </c>
      <c r="H128" s="2">
        <v>0.1723611111111111</v>
      </c>
      <c r="I128" t="s">
        <v>7</v>
      </c>
      <c r="J128" s="8">
        <v>4721</v>
      </c>
    </row>
    <row r="129" spans="1:10" x14ac:dyDescent="0.3">
      <c r="A129" s="1">
        <v>44197</v>
      </c>
      <c r="B129">
        <v>2021</v>
      </c>
      <c r="C129" t="str">
        <f>TEXT(Transformed_Data\[[#This Row],[Date]],"mmm")</f>
        <v>Jan</v>
      </c>
      <c r="D129" s="8">
        <v>4791</v>
      </c>
      <c r="E129" s="8">
        <v>29795</v>
      </c>
      <c r="F129" s="8">
        <v>36000</v>
      </c>
      <c r="G129" s="8">
        <v>6205</v>
      </c>
      <c r="H129" s="2">
        <v>0.1723611111111111</v>
      </c>
      <c r="I129" t="s">
        <v>9</v>
      </c>
      <c r="J129" s="8">
        <v>0</v>
      </c>
    </row>
    <row r="130" spans="1:10" x14ac:dyDescent="0.3">
      <c r="A130" s="1">
        <v>44197</v>
      </c>
      <c r="B130">
        <v>2021</v>
      </c>
      <c r="C130" t="str">
        <f>TEXT(Transformed_Data\[[#This Row],[Date]],"mmm")</f>
        <v>Jan</v>
      </c>
      <c r="D130" s="8">
        <v>4791</v>
      </c>
      <c r="E130" s="8">
        <v>29795</v>
      </c>
      <c r="F130" s="8">
        <v>36000</v>
      </c>
      <c r="G130" s="8">
        <v>6205</v>
      </c>
      <c r="H130" s="2">
        <v>0.1723611111111111</v>
      </c>
      <c r="I130" t="s">
        <v>10</v>
      </c>
      <c r="J130" s="8">
        <v>3682</v>
      </c>
    </row>
    <row r="131" spans="1:10" x14ac:dyDescent="0.3">
      <c r="A131" s="1">
        <v>44197</v>
      </c>
      <c r="B131">
        <v>2021</v>
      </c>
      <c r="C131" t="str">
        <f>TEXT(Transformed_Data\[[#This Row],[Date]],"mmm")</f>
        <v>Jan</v>
      </c>
      <c r="D131" s="8">
        <v>4791</v>
      </c>
      <c r="E131" s="8">
        <v>29795</v>
      </c>
      <c r="F131" s="8">
        <v>36000</v>
      </c>
      <c r="G131" s="8">
        <v>6205</v>
      </c>
      <c r="H131" s="2">
        <v>0.1723611111111111</v>
      </c>
      <c r="I131" t="s">
        <v>11</v>
      </c>
      <c r="J131" s="8">
        <v>1200</v>
      </c>
    </row>
    <row r="132" spans="1:10" x14ac:dyDescent="0.3">
      <c r="A132" s="1">
        <v>44228</v>
      </c>
      <c r="B132">
        <v>2021</v>
      </c>
      <c r="C132" t="str">
        <f>TEXT(Transformed_Data\[[#This Row],[Date]],"mmm")</f>
        <v>Feb</v>
      </c>
      <c r="D132" s="8">
        <v>6793</v>
      </c>
      <c r="E132" s="8">
        <v>32100</v>
      </c>
      <c r="F132" s="8">
        <v>36000</v>
      </c>
      <c r="G132" s="8">
        <v>3900</v>
      </c>
      <c r="H132" s="2">
        <v>0.10833333333333334</v>
      </c>
      <c r="I132" t="s">
        <v>1</v>
      </c>
      <c r="J132" s="8">
        <v>4502</v>
      </c>
    </row>
    <row r="133" spans="1:10" x14ac:dyDescent="0.3">
      <c r="A133" s="1">
        <v>44228</v>
      </c>
      <c r="B133">
        <v>2021</v>
      </c>
      <c r="C133" t="str">
        <f>TEXT(Transformed_Data\[[#This Row],[Date]],"mmm")</f>
        <v>Feb</v>
      </c>
      <c r="D133" s="8">
        <v>6793</v>
      </c>
      <c r="E133" s="8">
        <v>32100</v>
      </c>
      <c r="F133" s="8">
        <v>36000</v>
      </c>
      <c r="G133" s="8">
        <v>3900</v>
      </c>
      <c r="H133" s="2">
        <v>0.10833333333333334</v>
      </c>
      <c r="I133" t="s">
        <v>2</v>
      </c>
      <c r="J133" s="8">
        <v>10000</v>
      </c>
    </row>
    <row r="134" spans="1:10" x14ac:dyDescent="0.3">
      <c r="A134" s="1">
        <v>44228</v>
      </c>
      <c r="B134">
        <v>2021</v>
      </c>
      <c r="C134" t="str">
        <f>TEXT(Transformed_Data\[[#This Row],[Date]],"mmm")</f>
        <v>Feb</v>
      </c>
      <c r="D134" s="8">
        <v>6793</v>
      </c>
      <c r="E134" s="8">
        <v>32100</v>
      </c>
      <c r="F134" s="8">
        <v>36000</v>
      </c>
      <c r="G134" s="8">
        <v>3900</v>
      </c>
      <c r="H134" s="2">
        <v>0.10833333333333334</v>
      </c>
      <c r="I134" t="s">
        <v>3</v>
      </c>
      <c r="J134" s="8">
        <v>3097</v>
      </c>
    </row>
    <row r="135" spans="1:10" x14ac:dyDescent="0.3">
      <c r="A135" s="1">
        <v>44228</v>
      </c>
      <c r="B135">
        <v>2021</v>
      </c>
      <c r="C135" t="str">
        <f>TEXT(Transformed_Data\[[#This Row],[Date]],"mmm")</f>
        <v>Feb</v>
      </c>
      <c r="D135" s="8">
        <v>6793</v>
      </c>
      <c r="E135" s="8">
        <v>32100</v>
      </c>
      <c r="F135" s="8">
        <v>36000</v>
      </c>
      <c r="G135" s="8">
        <v>3900</v>
      </c>
      <c r="H135" s="2">
        <v>0.10833333333333334</v>
      </c>
      <c r="I135" t="s">
        <v>4</v>
      </c>
      <c r="J135" s="8">
        <v>915</v>
      </c>
    </row>
    <row r="136" spans="1:10" x14ac:dyDescent="0.3">
      <c r="A136" s="1">
        <v>44228</v>
      </c>
      <c r="B136">
        <v>2021</v>
      </c>
      <c r="C136" t="str">
        <f>TEXT(Transformed_Data\[[#This Row],[Date]],"mmm")</f>
        <v>Feb</v>
      </c>
      <c r="D136" s="8">
        <v>6793</v>
      </c>
      <c r="E136" s="8">
        <v>32100</v>
      </c>
      <c r="F136" s="8">
        <v>36000</v>
      </c>
      <c r="G136" s="8">
        <v>3900</v>
      </c>
      <c r="H136" s="2">
        <v>0.10833333333333334</v>
      </c>
      <c r="I136" t="s">
        <v>5</v>
      </c>
      <c r="J136" s="8">
        <v>2304</v>
      </c>
    </row>
    <row r="137" spans="1:10" x14ac:dyDescent="0.3">
      <c r="A137" s="1">
        <v>44228</v>
      </c>
      <c r="B137">
        <v>2021</v>
      </c>
      <c r="C137" t="str">
        <f>TEXT(Transformed_Data\[[#This Row],[Date]],"mmm")</f>
        <v>Feb</v>
      </c>
      <c r="D137" s="8">
        <v>6793</v>
      </c>
      <c r="E137" s="8">
        <v>32100</v>
      </c>
      <c r="F137" s="8">
        <v>36000</v>
      </c>
      <c r="G137" s="8">
        <v>3900</v>
      </c>
      <c r="H137" s="2">
        <v>0.10833333333333334</v>
      </c>
      <c r="I137" t="s">
        <v>6</v>
      </c>
      <c r="J137" s="8">
        <v>1206</v>
      </c>
    </row>
    <row r="138" spans="1:10" x14ac:dyDescent="0.3">
      <c r="A138" s="1">
        <v>44228</v>
      </c>
      <c r="B138">
        <v>2021</v>
      </c>
      <c r="C138" t="str">
        <f>TEXT(Transformed_Data\[[#This Row],[Date]],"mmm")</f>
        <v>Feb</v>
      </c>
      <c r="D138" s="8">
        <v>6793</v>
      </c>
      <c r="E138" s="8">
        <v>32100</v>
      </c>
      <c r="F138" s="8">
        <v>36000</v>
      </c>
      <c r="G138" s="8">
        <v>3900</v>
      </c>
      <c r="H138" s="2">
        <v>0.10833333333333334</v>
      </c>
      <c r="I138" t="s">
        <v>7</v>
      </c>
      <c r="J138" s="8">
        <v>4747</v>
      </c>
    </row>
    <row r="139" spans="1:10" x14ac:dyDescent="0.3">
      <c r="A139" s="1">
        <v>44228</v>
      </c>
      <c r="B139">
        <v>2021</v>
      </c>
      <c r="C139" t="str">
        <f>TEXT(Transformed_Data\[[#This Row],[Date]],"mmm")</f>
        <v>Feb</v>
      </c>
      <c r="D139" s="8">
        <v>6793</v>
      </c>
      <c r="E139" s="8">
        <v>32100</v>
      </c>
      <c r="F139" s="8">
        <v>36000</v>
      </c>
      <c r="G139" s="8">
        <v>3900</v>
      </c>
      <c r="H139" s="2">
        <v>0.10833333333333334</v>
      </c>
      <c r="I139" t="s">
        <v>9</v>
      </c>
      <c r="J139" s="8">
        <v>0</v>
      </c>
    </row>
    <row r="140" spans="1:10" x14ac:dyDescent="0.3">
      <c r="A140" s="1">
        <v>44228</v>
      </c>
      <c r="B140">
        <v>2021</v>
      </c>
      <c r="C140" t="str">
        <f>TEXT(Transformed_Data\[[#This Row],[Date]],"mmm")</f>
        <v>Feb</v>
      </c>
      <c r="D140" s="8">
        <v>6793</v>
      </c>
      <c r="E140" s="8">
        <v>32100</v>
      </c>
      <c r="F140" s="8">
        <v>36000</v>
      </c>
      <c r="G140" s="8">
        <v>3900</v>
      </c>
      <c r="H140" s="2">
        <v>0.10833333333333334</v>
      </c>
      <c r="I140" t="s">
        <v>10</v>
      </c>
      <c r="J140" s="8">
        <v>3646</v>
      </c>
    </row>
    <row r="141" spans="1:10" x14ac:dyDescent="0.3">
      <c r="A141" s="1">
        <v>44228</v>
      </c>
      <c r="B141">
        <v>2021</v>
      </c>
      <c r="C141" t="str">
        <f>TEXT(Transformed_Data\[[#This Row],[Date]],"mmm")</f>
        <v>Feb</v>
      </c>
      <c r="D141" s="8">
        <v>6793</v>
      </c>
      <c r="E141" s="8">
        <v>32100</v>
      </c>
      <c r="F141" s="8">
        <v>36000</v>
      </c>
      <c r="G141" s="8">
        <v>3900</v>
      </c>
      <c r="H141" s="2">
        <v>0.10833333333333334</v>
      </c>
      <c r="I141" t="s">
        <v>11</v>
      </c>
      <c r="J141" s="8">
        <v>1683</v>
      </c>
    </row>
    <row r="142" spans="1:10" x14ac:dyDescent="0.3">
      <c r="A142" s="1">
        <v>44256</v>
      </c>
      <c r="B142">
        <v>2021</v>
      </c>
      <c r="C142" t="str">
        <f>TEXT(Transformed_Data\[[#This Row],[Date]],"mmm")</f>
        <v>Mar</v>
      </c>
      <c r="D142" s="8">
        <v>4521</v>
      </c>
      <c r="E142" s="8">
        <v>31934</v>
      </c>
      <c r="F142" s="8">
        <v>36000</v>
      </c>
      <c r="G142" s="8">
        <v>4066</v>
      </c>
      <c r="H142" s="2">
        <v>0.11294444444444444</v>
      </c>
      <c r="I142" t="s">
        <v>1</v>
      </c>
      <c r="J142" s="8">
        <v>4960</v>
      </c>
    </row>
    <row r="143" spans="1:10" x14ac:dyDescent="0.3">
      <c r="A143" s="1">
        <v>44256</v>
      </c>
      <c r="B143">
        <v>2021</v>
      </c>
      <c r="C143" t="str">
        <f>TEXT(Transformed_Data\[[#This Row],[Date]],"mmm")</f>
        <v>Mar</v>
      </c>
      <c r="D143" s="8">
        <v>4521</v>
      </c>
      <c r="E143" s="8">
        <v>31934</v>
      </c>
      <c r="F143" s="8">
        <v>36000</v>
      </c>
      <c r="G143" s="8">
        <v>4066</v>
      </c>
      <c r="H143" s="2">
        <v>0.11294444444444444</v>
      </c>
      <c r="I143" t="s">
        <v>2</v>
      </c>
      <c r="J143" s="8">
        <v>10000</v>
      </c>
    </row>
    <row r="144" spans="1:10" x14ac:dyDescent="0.3">
      <c r="A144" s="1">
        <v>44256</v>
      </c>
      <c r="B144">
        <v>2021</v>
      </c>
      <c r="C144" t="str">
        <f>TEXT(Transformed_Data\[[#This Row],[Date]],"mmm")</f>
        <v>Mar</v>
      </c>
      <c r="D144" s="8">
        <v>4521</v>
      </c>
      <c r="E144" s="8">
        <v>31934</v>
      </c>
      <c r="F144" s="8">
        <v>36000</v>
      </c>
      <c r="G144" s="8">
        <v>4066</v>
      </c>
      <c r="H144" s="2">
        <v>0.11294444444444444</v>
      </c>
      <c r="I144" t="s">
        <v>3</v>
      </c>
      <c r="J144" s="8">
        <v>3466</v>
      </c>
    </row>
    <row r="145" spans="1:10" x14ac:dyDescent="0.3">
      <c r="A145" s="1">
        <v>44256</v>
      </c>
      <c r="B145">
        <v>2021</v>
      </c>
      <c r="C145" t="str">
        <f>TEXT(Transformed_Data\[[#This Row],[Date]],"mmm")</f>
        <v>Mar</v>
      </c>
      <c r="D145" s="8">
        <v>4521</v>
      </c>
      <c r="E145" s="8">
        <v>31934</v>
      </c>
      <c r="F145" s="8">
        <v>36000</v>
      </c>
      <c r="G145" s="8">
        <v>4066</v>
      </c>
      <c r="H145" s="2">
        <v>0.11294444444444444</v>
      </c>
      <c r="I145" t="s">
        <v>4</v>
      </c>
      <c r="J145" s="8">
        <v>1161</v>
      </c>
    </row>
    <row r="146" spans="1:10" x14ac:dyDescent="0.3">
      <c r="A146" s="1">
        <v>44256</v>
      </c>
      <c r="B146">
        <v>2021</v>
      </c>
      <c r="C146" t="str">
        <f>TEXT(Transformed_Data\[[#This Row],[Date]],"mmm")</f>
        <v>Mar</v>
      </c>
      <c r="D146" s="8">
        <v>4521</v>
      </c>
      <c r="E146" s="8">
        <v>31934</v>
      </c>
      <c r="F146" s="8">
        <v>36000</v>
      </c>
      <c r="G146" s="8">
        <v>4066</v>
      </c>
      <c r="H146" s="2">
        <v>0.11294444444444444</v>
      </c>
      <c r="I146" t="s">
        <v>5</v>
      </c>
      <c r="J146" s="8">
        <v>2142</v>
      </c>
    </row>
    <row r="147" spans="1:10" x14ac:dyDescent="0.3">
      <c r="A147" s="1">
        <v>44256</v>
      </c>
      <c r="B147">
        <v>2021</v>
      </c>
      <c r="C147" t="str">
        <f>TEXT(Transformed_Data\[[#This Row],[Date]],"mmm")</f>
        <v>Mar</v>
      </c>
      <c r="D147" s="8">
        <v>4521</v>
      </c>
      <c r="E147" s="8">
        <v>31934</v>
      </c>
      <c r="F147" s="8">
        <v>36000</v>
      </c>
      <c r="G147" s="8">
        <v>4066</v>
      </c>
      <c r="H147" s="2">
        <v>0.11294444444444444</v>
      </c>
      <c r="I147" t="s">
        <v>6</v>
      </c>
      <c r="J147" s="8">
        <v>1412</v>
      </c>
    </row>
    <row r="148" spans="1:10" x14ac:dyDescent="0.3">
      <c r="A148" s="1">
        <v>44256</v>
      </c>
      <c r="B148">
        <v>2021</v>
      </c>
      <c r="C148" t="str">
        <f>TEXT(Transformed_Data\[[#This Row],[Date]],"mmm")</f>
        <v>Mar</v>
      </c>
      <c r="D148" s="8">
        <v>4521</v>
      </c>
      <c r="E148" s="8">
        <v>31934</v>
      </c>
      <c r="F148" s="8">
        <v>36000</v>
      </c>
      <c r="G148" s="8">
        <v>4066</v>
      </c>
      <c r="H148" s="2">
        <v>0.11294444444444444</v>
      </c>
      <c r="I148" t="s">
        <v>7</v>
      </c>
      <c r="J148" s="8">
        <v>4024</v>
      </c>
    </row>
    <row r="149" spans="1:10" x14ac:dyDescent="0.3">
      <c r="A149" s="1">
        <v>44256</v>
      </c>
      <c r="B149">
        <v>2021</v>
      </c>
      <c r="C149" t="str">
        <f>TEXT(Transformed_Data\[[#This Row],[Date]],"mmm")</f>
        <v>Mar</v>
      </c>
      <c r="D149" s="8">
        <v>4521</v>
      </c>
      <c r="E149" s="8">
        <v>31934</v>
      </c>
      <c r="F149" s="8">
        <v>36000</v>
      </c>
      <c r="G149" s="8">
        <v>4066</v>
      </c>
      <c r="H149" s="2">
        <v>0.11294444444444444</v>
      </c>
      <c r="I149" t="s">
        <v>9</v>
      </c>
      <c r="J149" s="8">
        <v>0</v>
      </c>
    </row>
    <row r="150" spans="1:10" x14ac:dyDescent="0.3">
      <c r="A150" s="1">
        <v>44256</v>
      </c>
      <c r="B150">
        <v>2021</v>
      </c>
      <c r="C150" t="str">
        <f>TEXT(Transformed_Data\[[#This Row],[Date]],"mmm")</f>
        <v>Mar</v>
      </c>
      <c r="D150" s="8">
        <v>4521</v>
      </c>
      <c r="E150" s="8">
        <v>31934</v>
      </c>
      <c r="F150" s="8">
        <v>36000</v>
      </c>
      <c r="G150" s="8">
        <v>4066</v>
      </c>
      <c r="H150" s="2">
        <v>0.11294444444444444</v>
      </c>
      <c r="I150" t="s">
        <v>10</v>
      </c>
      <c r="J150" s="8">
        <v>2528</v>
      </c>
    </row>
    <row r="151" spans="1:10" x14ac:dyDescent="0.3">
      <c r="A151" s="1">
        <v>44256</v>
      </c>
      <c r="B151">
        <v>2021</v>
      </c>
      <c r="C151" t="str">
        <f>TEXT(Transformed_Data\[[#This Row],[Date]],"mmm")</f>
        <v>Mar</v>
      </c>
      <c r="D151" s="8">
        <v>4521</v>
      </c>
      <c r="E151" s="8">
        <v>31934</v>
      </c>
      <c r="F151" s="8">
        <v>36000</v>
      </c>
      <c r="G151" s="8">
        <v>4066</v>
      </c>
      <c r="H151" s="2">
        <v>0.11294444444444444</v>
      </c>
      <c r="I151" t="s">
        <v>11</v>
      </c>
      <c r="J151" s="8">
        <v>2241</v>
      </c>
    </row>
    <row r="152" spans="1:10" x14ac:dyDescent="0.3">
      <c r="A152" s="1">
        <v>44287</v>
      </c>
      <c r="B152">
        <v>2021</v>
      </c>
      <c r="C152" t="str">
        <f>TEXT(Transformed_Data\[[#This Row],[Date]],"mmm")</f>
        <v>Apr</v>
      </c>
      <c r="D152" s="8">
        <v>7069</v>
      </c>
      <c r="E152" s="8">
        <v>32896</v>
      </c>
      <c r="F152" s="8">
        <v>43200</v>
      </c>
      <c r="G152" s="8">
        <v>10304</v>
      </c>
      <c r="H152" s="2">
        <v>0.23851851851851852</v>
      </c>
      <c r="I152" t="s">
        <v>1</v>
      </c>
      <c r="J152" s="8">
        <v>6842</v>
      </c>
    </row>
    <row r="153" spans="1:10" x14ac:dyDescent="0.3">
      <c r="A153" s="1">
        <v>44287</v>
      </c>
      <c r="B153">
        <v>2021</v>
      </c>
      <c r="C153" t="str">
        <f>TEXT(Transformed_Data\[[#This Row],[Date]],"mmm")</f>
        <v>Apr</v>
      </c>
      <c r="D153" s="8">
        <v>7069</v>
      </c>
      <c r="E153" s="8">
        <v>32896</v>
      </c>
      <c r="F153" s="8">
        <v>43200</v>
      </c>
      <c r="G153" s="8">
        <v>10304</v>
      </c>
      <c r="H153" s="2">
        <v>0.23851851851851852</v>
      </c>
      <c r="I153" t="s">
        <v>2</v>
      </c>
      <c r="J153" s="8">
        <v>10000</v>
      </c>
    </row>
    <row r="154" spans="1:10" x14ac:dyDescent="0.3">
      <c r="A154" s="1">
        <v>44287</v>
      </c>
      <c r="B154">
        <v>2021</v>
      </c>
      <c r="C154" t="str">
        <f>TEXT(Transformed_Data\[[#This Row],[Date]],"mmm")</f>
        <v>Apr</v>
      </c>
      <c r="D154" s="8">
        <v>7069</v>
      </c>
      <c r="E154" s="8">
        <v>32896</v>
      </c>
      <c r="F154" s="8">
        <v>43200</v>
      </c>
      <c r="G154" s="8">
        <v>10304</v>
      </c>
      <c r="H154" s="2">
        <v>0.23851851851851852</v>
      </c>
      <c r="I154" t="s">
        <v>3</v>
      </c>
      <c r="J154" s="8">
        <v>1706</v>
      </c>
    </row>
    <row r="155" spans="1:10" x14ac:dyDescent="0.3">
      <c r="A155" s="1">
        <v>44287</v>
      </c>
      <c r="B155">
        <v>2021</v>
      </c>
      <c r="C155" t="str">
        <f>TEXT(Transformed_Data\[[#This Row],[Date]],"mmm")</f>
        <v>Apr</v>
      </c>
      <c r="D155" s="8">
        <v>7069</v>
      </c>
      <c r="E155" s="8">
        <v>32896</v>
      </c>
      <c r="F155" s="8">
        <v>43200</v>
      </c>
      <c r="G155" s="8">
        <v>10304</v>
      </c>
      <c r="H155" s="2">
        <v>0.23851851851851852</v>
      </c>
      <c r="I155" t="s">
        <v>4</v>
      </c>
      <c r="J155" s="8">
        <v>714</v>
      </c>
    </row>
    <row r="156" spans="1:10" x14ac:dyDescent="0.3">
      <c r="A156" s="1">
        <v>44287</v>
      </c>
      <c r="B156">
        <v>2021</v>
      </c>
      <c r="C156" t="str">
        <f>TEXT(Transformed_Data\[[#This Row],[Date]],"mmm")</f>
        <v>Apr</v>
      </c>
      <c r="D156" s="8">
        <v>7069</v>
      </c>
      <c r="E156" s="8">
        <v>32896</v>
      </c>
      <c r="F156" s="8">
        <v>43200</v>
      </c>
      <c r="G156" s="8">
        <v>10304</v>
      </c>
      <c r="H156" s="2">
        <v>0.23851851851851852</v>
      </c>
      <c r="I156" t="s">
        <v>5</v>
      </c>
      <c r="J156" s="8">
        <v>2357</v>
      </c>
    </row>
    <row r="157" spans="1:10" x14ac:dyDescent="0.3">
      <c r="A157" s="1">
        <v>44287</v>
      </c>
      <c r="B157">
        <v>2021</v>
      </c>
      <c r="C157" t="str">
        <f>TEXT(Transformed_Data\[[#This Row],[Date]],"mmm")</f>
        <v>Apr</v>
      </c>
      <c r="D157" s="8">
        <v>7069</v>
      </c>
      <c r="E157" s="8">
        <v>32896</v>
      </c>
      <c r="F157" s="8">
        <v>43200</v>
      </c>
      <c r="G157" s="8">
        <v>10304</v>
      </c>
      <c r="H157" s="2">
        <v>0.23851851851851852</v>
      </c>
      <c r="I157" t="s">
        <v>6</v>
      </c>
      <c r="J157" s="8">
        <v>1192</v>
      </c>
    </row>
    <row r="158" spans="1:10" x14ac:dyDescent="0.3">
      <c r="A158" s="1">
        <v>44287</v>
      </c>
      <c r="B158">
        <v>2021</v>
      </c>
      <c r="C158" t="str">
        <f>TEXT(Transformed_Data\[[#This Row],[Date]],"mmm")</f>
        <v>Apr</v>
      </c>
      <c r="D158" s="8">
        <v>7069</v>
      </c>
      <c r="E158" s="8">
        <v>32896</v>
      </c>
      <c r="F158" s="8">
        <v>43200</v>
      </c>
      <c r="G158" s="8">
        <v>10304</v>
      </c>
      <c r="H158" s="2">
        <v>0.23851851851851852</v>
      </c>
      <c r="I158" t="s">
        <v>7</v>
      </c>
      <c r="J158" s="8">
        <v>4387</v>
      </c>
    </row>
    <row r="159" spans="1:10" x14ac:dyDescent="0.3">
      <c r="A159" s="1">
        <v>44287</v>
      </c>
      <c r="B159">
        <v>2021</v>
      </c>
      <c r="C159" t="str">
        <f>TEXT(Transformed_Data\[[#This Row],[Date]],"mmm")</f>
        <v>Apr</v>
      </c>
      <c r="D159" s="8">
        <v>7069</v>
      </c>
      <c r="E159" s="8">
        <v>32896</v>
      </c>
      <c r="F159" s="8">
        <v>43200</v>
      </c>
      <c r="G159" s="8">
        <v>10304</v>
      </c>
      <c r="H159" s="2">
        <v>0.23851851851851852</v>
      </c>
      <c r="I159" t="s">
        <v>9</v>
      </c>
      <c r="J159" s="8">
        <v>0</v>
      </c>
    </row>
    <row r="160" spans="1:10" x14ac:dyDescent="0.3">
      <c r="A160" s="1">
        <v>44287</v>
      </c>
      <c r="B160">
        <v>2021</v>
      </c>
      <c r="C160" t="str">
        <f>TEXT(Transformed_Data\[[#This Row],[Date]],"mmm")</f>
        <v>Apr</v>
      </c>
      <c r="D160" s="8">
        <v>7069</v>
      </c>
      <c r="E160" s="8">
        <v>32896</v>
      </c>
      <c r="F160" s="8">
        <v>43200</v>
      </c>
      <c r="G160" s="8">
        <v>10304</v>
      </c>
      <c r="H160" s="2">
        <v>0.23851851851851852</v>
      </c>
      <c r="I160" t="s">
        <v>10</v>
      </c>
      <c r="J160" s="8">
        <v>2984</v>
      </c>
    </row>
    <row r="161" spans="1:10" x14ac:dyDescent="0.3">
      <c r="A161" s="1">
        <v>44287</v>
      </c>
      <c r="B161">
        <v>2021</v>
      </c>
      <c r="C161" t="str">
        <f>TEXT(Transformed_Data\[[#This Row],[Date]],"mmm")</f>
        <v>Apr</v>
      </c>
      <c r="D161" s="8">
        <v>7069</v>
      </c>
      <c r="E161" s="8">
        <v>32896</v>
      </c>
      <c r="F161" s="8">
        <v>43200</v>
      </c>
      <c r="G161" s="8">
        <v>10304</v>
      </c>
      <c r="H161" s="2">
        <v>0.23851851851851852</v>
      </c>
      <c r="I161" t="s">
        <v>11</v>
      </c>
      <c r="J161" s="8">
        <v>2714</v>
      </c>
    </row>
    <row r="162" spans="1:10" x14ac:dyDescent="0.3">
      <c r="A162" s="1">
        <v>44317</v>
      </c>
      <c r="B162">
        <v>2021</v>
      </c>
      <c r="C162" t="str">
        <f>TEXT(Transformed_Data\[[#This Row],[Date]],"mmm")</f>
        <v>May</v>
      </c>
      <c r="D162" s="8">
        <v>5197</v>
      </c>
      <c r="E162" s="8">
        <v>32310</v>
      </c>
      <c r="F162" s="8">
        <v>43200</v>
      </c>
      <c r="G162" s="8">
        <v>10890</v>
      </c>
      <c r="H162" s="2">
        <v>0.25208333333333333</v>
      </c>
      <c r="I162" t="s">
        <v>1</v>
      </c>
      <c r="J162" s="8">
        <v>4563</v>
      </c>
    </row>
    <row r="163" spans="1:10" x14ac:dyDescent="0.3">
      <c r="A163" s="1">
        <v>44317</v>
      </c>
      <c r="B163">
        <v>2021</v>
      </c>
      <c r="C163" t="str">
        <f>TEXT(Transformed_Data\[[#This Row],[Date]],"mmm")</f>
        <v>May</v>
      </c>
      <c r="D163" s="8">
        <v>5197</v>
      </c>
      <c r="E163" s="8">
        <v>32310</v>
      </c>
      <c r="F163" s="8">
        <v>43200</v>
      </c>
      <c r="G163" s="8">
        <v>10890</v>
      </c>
      <c r="H163" s="2">
        <v>0.25208333333333333</v>
      </c>
      <c r="I163" t="s">
        <v>2</v>
      </c>
      <c r="J163" s="8">
        <v>10000</v>
      </c>
    </row>
    <row r="164" spans="1:10" x14ac:dyDescent="0.3">
      <c r="A164" s="1">
        <v>44317</v>
      </c>
      <c r="B164">
        <v>2021</v>
      </c>
      <c r="C164" t="str">
        <f>TEXT(Transformed_Data\[[#This Row],[Date]],"mmm")</f>
        <v>May</v>
      </c>
      <c r="D164" s="8">
        <v>5197</v>
      </c>
      <c r="E164" s="8">
        <v>32310</v>
      </c>
      <c r="F164" s="8">
        <v>43200</v>
      </c>
      <c r="G164" s="8">
        <v>10890</v>
      </c>
      <c r="H164" s="2">
        <v>0.25208333333333333</v>
      </c>
      <c r="I164" t="s">
        <v>3</v>
      </c>
      <c r="J164" s="8">
        <v>1595</v>
      </c>
    </row>
    <row r="165" spans="1:10" x14ac:dyDescent="0.3">
      <c r="A165" s="1">
        <v>44317</v>
      </c>
      <c r="B165">
        <v>2021</v>
      </c>
      <c r="C165" t="str">
        <f>TEXT(Transformed_Data\[[#This Row],[Date]],"mmm")</f>
        <v>May</v>
      </c>
      <c r="D165" s="8">
        <v>5197</v>
      </c>
      <c r="E165" s="8">
        <v>32310</v>
      </c>
      <c r="F165" s="8">
        <v>43200</v>
      </c>
      <c r="G165" s="8">
        <v>10890</v>
      </c>
      <c r="H165" s="2">
        <v>0.25208333333333333</v>
      </c>
      <c r="I165" t="s">
        <v>4</v>
      </c>
      <c r="J165" s="8">
        <v>1087</v>
      </c>
    </row>
    <row r="166" spans="1:10" x14ac:dyDescent="0.3">
      <c r="A166" s="1">
        <v>44317</v>
      </c>
      <c r="B166">
        <v>2021</v>
      </c>
      <c r="C166" t="str">
        <f>TEXT(Transformed_Data\[[#This Row],[Date]],"mmm")</f>
        <v>May</v>
      </c>
      <c r="D166" s="8">
        <v>5197</v>
      </c>
      <c r="E166" s="8">
        <v>32310</v>
      </c>
      <c r="F166" s="8">
        <v>43200</v>
      </c>
      <c r="G166" s="8">
        <v>10890</v>
      </c>
      <c r="H166" s="2">
        <v>0.25208333333333333</v>
      </c>
      <c r="I166" t="s">
        <v>5</v>
      </c>
      <c r="J166" s="8">
        <v>2233</v>
      </c>
    </row>
    <row r="167" spans="1:10" x14ac:dyDescent="0.3">
      <c r="A167" s="1">
        <v>44317</v>
      </c>
      <c r="B167">
        <v>2021</v>
      </c>
      <c r="C167" t="str">
        <f>TEXT(Transformed_Data\[[#This Row],[Date]],"mmm")</f>
        <v>May</v>
      </c>
      <c r="D167" s="8">
        <v>5197</v>
      </c>
      <c r="E167" s="8">
        <v>32310</v>
      </c>
      <c r="F167" s="8">
        <v>43200</v>
      </c>
      <c r="G167" s="8">
        <v>10890</v>
      </c>
      <c r="H167" s="2">
        <v>0.25208333333333333</v>
      </c>
      <c r="I167" t="s">
        <v>6</v>
      </c>
      <c r="J167" s="8">
        <v>1820</v>
      </c>
    </row>
    <row r="168" spans="1:10" x14ac:dyDescent="0.3">
      <c r="A168" s="1">
        <v>44317</v>
      </c>
      <c r="B168">
        <v>2021</v>
      </c>
      <c r="C168" t="str">
        <f>TEXT(Transformed_Data\[[#This Row],[Date]],"mmm")</f>
        <v>May</v>
      </c>
      <c r="D168" s="8">
        <v>5197</v>
      </c>
      <c r="E168" s="8">
        <v>32310</v>
      </c>
      <c r="F168" s="8">
        <v>43200</v>
      </c>
      <c r="G168" s="8">
        <v>10890</v>
      </c>
      <c r="H168" s="2">
        <v>0.25208333333333333</v>
      </c>
      <c r="I168" t="s">
        <v>7</v>
      </c>
      <c r="J168" s="8">
        <v>5486</v>
      </c>
    </row>
    <row r="169" spans="1:10" x14ac:dyDescent="0.3">
      <c r="A169" s="1">
        <v>44317</v>
      </c>
      <c r="B169">
        <v>2021</v>
      </c>
      <c r="C169" t="str">
        <f>TEXT(Transformed_Data\[[#This Row],[Date]],"mmm")</f>
        <v>May</v>
      </c>
      <c r="D169" s="8">
        <v>5197</v>
      </c>
      <c r="E169" s="8">
        <v>32310</v>
      </c>
      <c r="F169" s="8">
        <v>43200</v>
      </c>
      <c r="G169" s="8">
        <v>10890</v>
      </c>
      <c r="H169" s="2">
        <v>0.25208333333333333</v>
      </c>
      <c r="I169" t="s">
        <v>9</v>
      </c>
      <c r="J169" s="8">
        <v>0</v>
      </c>
    </row>
    <row r="170" spans="1:10" x14ac:dyDescent="0.3">
      <c r="A170" s="1">
        <v>44317</v>
      </c>
      <c r="B170">
        <v>2021</v>
      </c>
      <c r="C170" t="str">
        <f>TEXT(Transformed_Data\[[#This Row],[Date]],"mmm")</f>
        <v>May</v>
      </c>
      <c r="D170" s="8">
        <v>5197</v>
      </c>
      <c r="E170" s="8">
        <v>32310</v>
      </c>
      <c r="F170" s="8">
        <v>43200</v>
      </c>
      <c r="G170" s="8">
        <v>10890</v>
      </c>
      <c r="H170" s="2">
        <v>0.25208333333333333</v>
      </c>
      <c r="I170" t="s">
        <v>10</v>
      </c>
      <c r="J170" s="8">
        <v>3778</v>
      </c>
    </row>
    <row r="171" spans="1:10" x14ac:dyDescent="0.3">
      <c r="A171" s="1">
        <v>44317</v>
      </c>
      <c r="B171">
        <v>2021</v>
      </c>
      <c r="C171" t="str">
        <f>TEXT(Transformed_Data\[[#This Row],[Date]],"mmm")</f>
        <v>May</v>
      </c>
      <c r="D171" s="8">
        <v>5197</v>
      </c>
      <c r="E171" s="8">
        <v>32310</v>
      </c>
      <c r="F171" s="8">
        <v>43200</v>
      </c>
      <c r="G171" s="8">
        <v>10890</v>
      </c>
      <c r="H171" s="2">
        <v>0.25208333333333333</v>
      </c>
      <c r="I171" t="s">
        <v>11</v>
      </c>
      <c r="J171" s="8">
        <v>1748</v>
      </c>
    </row>
    <row r="172" spans="1:10" x14ac:dyDescent="0.3">
      <c r="A172" s="1">
        <v>44348</v>
      </c>
      <c r="B172">
        <v>2021</v>
      </c>
      <c r="C172" t="str">
        <f>TEXT(Transformed_Data\[[#This Row],[Date]],"mmm")</f>
        <v>Jun</v>
      </c>
      <c r="D172" s="8">
        <v>5597</v>
      </c>
      <c r="E172" s="8">
        <v>35109</v>
      </c>
      <c r="F172" s="8">
        <v>43200</v>
      </c>
      <c r="G172" s="8">
        <v>8091</v>
      </c>
      <c r="H172" s="2">
        <v>0.18729166666666666</v>
      </c>
      <c r="I172" t="s">
        <v>1</v>
      </c>
      <c r="J172" s="8">
        <v>6572</v>
      </c>
    </row>
    <row r="173" spans="1:10" x14ac:dyDescent="0.3">
      <c r="A173" s="1">
        <v>44348</v>
      </c>
      <c r="B173">
        <v>2021</v>
      </c>
      <c r="C173" t="str">
        <f>TEXT(Transformed_Data\[[#This Row],[Date]],"mmm")</f>
        <v>Jun</v>
      </c>
      <c r="D173" s="8">
        <v>5597</v>
      </c>
      <c r="E173" s="8">
        <v>35109</v>
      </c>
      <c r="F173" s="8">
        <v>43200</v>
      </c>
      <c r="G173" s="8">
        <v>8091</v>
      </c>
      <c r="H173" s="2">
        <v>0.18729166666666666</v>
      </c>
      <c r="I173" t="s">
        <v>2</v>
      </c>
      <c r="J173" s="8">
        <v>10000</v>
      </c>
    </row>
    <row r="174" spans="1:10" x14ac:dyDescent="0.3">
      <c r="A174" s="1">
        <v>44348</v>
      </c>
      <c r="B174">
        <v>2021</v>
      </c>
      <c r="C174" t="str">
        <f>TEXT(Transformed_Data\[[#This Row],[Date]],"mmm")</f>
        <v>Jun</v>
      </c>
      <c r="D174" s="8">
        <v>5597</v>
      </c>
      <c r="E174" s="8">
        <v>35109</v>
      </c>
      <c r="F174" s="8">
        <v>43200</v>
      </c>
      <c r="G174" s="8">
        <v>8091</v>
      </c>
      <c r="H174" s="2">
        <v>0.18729166666666666</v>
      </c>
      <c r="I174" t="s">
        <v>3</v>
      </c>
      <c r="J174" s="8">
        <v>3362</v>
      </c>
    </row>
    <row r="175" spans="1:10" x14ac:dyDescent="0.3">
      <c r="A175" s="1">
        <v>44348</v>
      </c>
      <c r="B175">
        <v>2021</v>
      </c>
      <c r="C175" t="str">
        <f>TEXT(Transformed_Data\[[#This Row],[Date]],"mmm")</f>
        <v>Jun</v>
      </c>
      <c r="D175" s="8">
        <v>5597</v>
      </c>
      <c r="E175" s="8">
        <v>35109</v>
      </c>
      <c r="F175" s="8">
        <v>43200</v>
      </c>
      <c r="G175" s="8">
        <v>8091</v>
      </c>
      <c r="H175" s="2">
        <v>0.18729166666666666</v>
      </c>
      <c r="I175" t="s">
        <v>4</v>
      </c>
      <c r="J175" s="8">
        <v>886</v>
      </c>
    </row>
    <row r="176" spans="1:10" x14ac:dyDescent="0.3">
      <c r="A176" s="1">
        <v>44348</v>
      </c>
      <c r="B176">
        <v>2021</v>
      </c>
      <c r="C176" t="str">
        <f>TEXT(Transformed_Data\[[#This Row],[Date]],"mmm")</f>
        <v>Jun</v>
      </c>
      <c r="D176" s="8">
        <v>5597</v>
      </c>
      <c r="E176" s="8">
        <v>35109</v>
      </c>
      <c r="F176" s="8">
        <v>43200</v>
      </c>
      <c r="G176" s="8">
        <v>8091</v>
      </c>
      <c r="H176" s="2">
        <v>0.18729166666666666</v>
      </c>
      <c r="I176" t="s">
        <v>5</v>
      </c>
      <c r="J176" s="8">
        <v>1742</v>
      </c>
    </row>
    <row r="177" spans="1:10" x14ac:dyDescent="0.3">
      <c r="A177" s="1">
        <v>44348</v>
      </c>
      <c r="B177">
        <v>2021</v>
      </c>
      <c r="C177" t="str">
        <f>TEXT(Transformed_Data\[[#This Row],[Date]],"mmm")</f>
        <v>Jun</v>
      </c>
      <c r="D177" s="8">
        <v>5597</v>
      </c>
      <c r="E177" s="8">
        <v>35109</v>
      </c>
      <c r="F177" s="8">
        <v>43200</v>
      </c>
      <c r="G177" s="8">
        <v>8091</v>
      </c>
      <c r="H177" s="2">
        <v>0.18729166666666666</v>
      </c>
      <c r="I177" t="s">
        <v>6</v>
      </c>
      <c r="J177" s="8">
        <v>1983</v>
      </c>
    </row>
    <row r="178" spans="1:10" x14ac:dyDescent="0.3">
      <c r="A178" s="1">
        <v>44348</v>
      </c>
      <c r="B178">
        <v>2021</v>
      </c>
      <c r="C178" t="str">
        <f>TEXT(Transformed_Data\[[#This Row],[Date]],"mmm")</f>
        <v>Jun</v>
      </c>
      <c r="D178" s="8">
        <v>5597</v>
      </c>
      <c r="E178" s="8">
        <v>35109</v>
      </c>
      <c r="F178" s="8">
        <v>43200</v>
      </c>
      <c r="G178" s="8">
        <v>8091</v>
      </c>
      <c r="H178" s="2">
        <v>0.18729166666666666</v>
      </c>
      <c r="I178" t="s">
        <v>7</v>
      </c>
      <c r="J178" s="8">
        <v>5668</v>
      </c>
    </row>
    <row r="179" spans="1:10" x14ac:dyDescent="0.3">
      <c r="A179" s="1">
        <v>44348</v>
      </c>
      <c r="B179">
        <v>2021</v>
      </c>
      <c r="C179" t="str">
        <f>TEXT(Transformed_Data\[[#This Row],[Date]],"mmm")</f>
        <v>Jun</v>
      </c>
      <c r="D179" s="8">
        <v>5597</v>
      </c>
      <c r="E179" s="8">
        <v>35109</v>
      </c>
      <c r="F179" s="8">
        <v>43200</v>
      </c>
      <c r="G179" s="8">
        <v>8091</v>
      </c>
      <c r="H179" s="2">
        <v>0.18729166666666666</v>
      </c>
      <c r="I179" t="s">
        <v>9</v>
      </c>
      <c r="J179" s="8">
        <v>0</v>
      </c>
    </row>
    <row r="180" spans="1:10" x14ac:dyDescent="0.3">
      <c r="A180" s="1">
        <v>44348</v>
      </c>
      <c r="B180">
        <v>2021</v>
      </c>
      <c r="C180" t="str">
        <f>TEXT(Transformed_Data\[[#This Row],[Date]],"mmm")</f>
        <v>Jun</v>
      </c>
      <c r="D180" s="8">
        <v>5597</v>
      </c>
      <c r="E180" s="8">
        <v>35109</v>
      </c>
      <c r="F180" s="8">
        <v>43200</v>
      </c>
      <c r="G180" s="8">
        <v>8091</v>
      </c>
      <c r="H180" s="2">
        <v>0.18729166666666666</v>
      </c>
      <c r="I180" t="s">
        <v>10</v>
      </c>
      <c r="J180" s="8">
        <v>3319</v>
      </c>
    </row>
    <row r="181" spans="1:10" x14ac:dyDescent="0.3">
      <c r="A181" s="1">
        <v>44348</v>
      </c>
      <c r="B181">
        <v>2021</v>
      </c>
      <c r="C181" t="str">
        <f>TEXT(Transformed_Data\[[#This Row],[Date]],"mmm")</f>
        <v>Jun</v>
      </c>
      <c r="D181" s="8">
        <v>5597</v>
      </c>
      <c r="E181" s="8">
        <v>35109</v>
      </c>
      <c r="F181" s="8">
        <v>43200</v>
      </c>
      <c r="G181" s="8">
        <v>8091</v>
      </c>
      <c r="H181" s="2">
        <v>0.18729166666666666</v>
      </c>
      <c r="I181" t="s">
        <v>11</v>
      </c>
      <c r="J181" s="8">
        <v>1577</v>
      </c>
    </row>
    <row r="182" spans="1:10" x14ac:dyDescent="0.3">
      <c r="A182" s="1">
        <v>44378</v>
      </c>
      <c r="B182">
        <v>2021</v>
      </c>
      <c r="C182" t="str">
        <f>TEXT(Transformed_Data\[[#This Row],[Date]],"mmm")</f>
        <v>Jul</v>
      </c>
      <c r="D182" s="8">
        <v>5721</v>
      </c>
      <c r="E182" s="8">
        <v>35612</v>
      </c>
      <c r="F182" s="8">
        <v>43200</v>
      </c>
      <c r="G182" s="8">
        <v>7588</v>
      </c>
      <c r="H182" s="2">
        <v>0.17564814814814814</v>
      </c>
      <c r="I182" t="s">
        <v>1</v>
      </c>
      <c r="J182" s="8">
        <v>6693</v>
      </c>
    </row>
    <row r="183" spans="1:10" x14ac:dyDescent="0.3">
      <c r="A183" s="1">
        <v>44378</v>
      </c>
      <c r="B183">
        <v>2021</v>
      </c>
      <c r="C183" t="str">
        <f>TEXT(Transformed_Data\[[#This Row],[Date]],"mmm")</f>
        <v>Jul</v>
      </c>
      <c r="D183" s="8">
        <v>5721</v>
      </c>
      <c r="E183" s="8">
        <v>35612</v>
      </c>
      <c r="F183" s="8">
        <v>43200</v>
      </c>
      <c r="G183" s="8">
        <v>7588</v>
      </c>
      <c r="H183" s="2">
        <v>0.17564814814814814</v>
      </c>
      <c r="I183" t="s">
        <v>2</v>
      </c>
      <c r="J183" s="8">
        <v>10000</v>
      </c>
    </row>
    <row r="184" spans="1:10" x14ac:dyDescent="0.3">
      <c r="A184" s="1">
        <v>44378</v>
      </c>
      <c r="B184">
        <v>2021</v>
      </c>
      <c r="C184" t="str">
        <f>TEXT(Transformed_Data\[[#This Row],[Date]],"mmm")</f>
        <v>Jul</v>
      </c>
      <c r="D184" s="8">
        <v>5721</v>
      </c>
      <c r="E184" s="8">
        <v>35612</v>
      </c>
      <c r="F184" s="8">
        <v>43200</v>
      </c>
      <c r="G184" s="8">
        <v>7588</v>
      </c>
      <c r="H184" s="2">
        <v>0.17564814814814814</v>
      </c>
      <c r="I184" t="s">
        <v>3</v>
      </c>
      <c r="J184" s="8">
        <v>2551</v>
      </c>
    </row>
    <row r="185" spans="1:10" x14ac:dyDescent="0.3">
      <c r="A185" s="1">
        <v>44378</v>
      </c>
      <c r="B185">
        <v>2021</v>
      </c>
      <c r="C185" t="str">
        <f>TEXT(Transformed_Data\[[#This Row],[Date]],"mmm")</f>
        <v>Jul</v>
      </c>
      <c r="D185" s="8">
        <v>5721</v>
      </c>
      <c r="E185" s="8">
        <v>35612</v>
      </c>
      <c r="F185" s="8">
        <v>43200</v>
      </c>
      <c r="G185" s="8">
        <v>7588</v>
      </c>
      <c r="H185" s="2">
        <v>0.17564814814814814</v>
      </c>
      <c r="I185" t="s">
        <v>4</v>
      </c>
      <c r="J185" s="8">
        <v>807</v>
      </c>
    </row>
    <row r="186" spans="1:10" x14ac:dyDescent="0.3">
      <c r="A186" s="1">
        <v>44378</v>
      </c>
      <c r="B186">
        <v>2021</v>
      </c>
      <c r="C186" t="str">
        <f>TEXT(Transformed_Data\[[#This Row],[Date]],"mmm")</f>
        <v>Jul</v>
      </c>
      <c r="D186" s="8">
        <v>5721</v>
      </c>
      <c r="E186" s="8">
        <v>35612</v>
      </c>
      <c r="F186" s="8">
        <v>43200</v>
      </c>
      <c r="G186" s="8">
        <v>7588</v>
      </c>
      <c r="H186" s="2">
        <v>0.17564814814814814</v>
      </c>
      <c r="I186" t="s">
        <v>5</v>
      </c>
      <c r="J186" s="8">
        <v>2055</v>
      </c>
    </row>
    <row r="187" spans="1:10" x14ac:dyDescent="0.3">
      <c r="A187" s="1">
        <v>44378</v>
      </c>
      <c r="B187">
        <v>2021</v>
      </c>
      <c r="C187" t="str">
        <f>TEXT(Transformed_Data\[[#This Row],[Date]],"mmm")</f>
        <v>Jul</v>
      </c>
      <c r="D187" s="8">
        <v>5721</v>
      </c>
      <c r="E187" s="8">
        <v>35612</v>
      </c>
      <c r="F187" s="8">
        <v>43200</v>
      </c>
      <c r="G187" s="8">
        <v>7588</v>
      </c>
      <c r="H187" s="2">
        <v>0.17564814814814814</v>
      </c>
      <c r="I187" t="s">
        <v>6</v>
      </c>
      <c r="J187" s="8">
        <v>1595</v>
      </c>
    </row>
    <row r="188" spans="1:10" x14ac:dyDescent="0.3">
      <c r="A188" s="1">
        <v>44378</v>
      </c>
      <c r="B188">
        <v>2021</v>
      </c>
      <c r="C188" t="str">
        <f>TEXT(Transformed_Data\[[#This Row],[Date]],"mmm")</f>
        <v>Jul</v>
      </c>
      <c r="D188" s="8">
        <v>5721</v>
      </c>
      <c r="E188" s="8">
        <v>35612</v>
      </c>
      <c r="F188" s="8">
        <v>43200</v>
      </c>
      <c r="G188" s="8">
        <v>7588</v>
      </c>
      <c r="H188" s="2">
        <v>0.17564814814814814</v>
      </c>
      <c r="I188" t="s">
        <v>7</v>
      </c>
      <c r="J188" s="8">
        <v>6227</v>
      </c>
    </row>
    <row r="189" spans="1:10" x14ac:dyDescent="0.3">
      <c r="A189" s="1">
        <v>44378</v>
      </c>
      <c r="B189">
        <v>2021</v>
      </c>
      <c r="C189" t="str">
        <f>TEXT(Transformed_Data\[[#This Row],[Date]],"mmm")</f>
        <v>Jul</v>
      </c>
      <c r="D189" s="8">
        <v>5721</v>
      </c>
      <c r="E189" s="8">
        <v>35612</v>
      </c>
      <c r="F189" s="8">
        <v>43200</v>
      </c>
      <c r="G189" s="8">
        <v>7588</v>
      </c>
      <c r="H189" s="2">
        <v>0.17564814814814814</v>
      </c>
      <c r="I189" t="s">
        <v>9</v>
      </c>
      <c r="J189" s="8">
        <v>0</v>
      </c>
    </row>
    <row r="190" spans="1:10" x14ac:dyDescent="0.3">
      <c r="A190" s="1">
        <v>44378</v>
      </c>
      <c r="B190">
        <v>2021</v>
      </c>
      <c r="C190" t="str">
        <f>TEXT(Transformed_Data\[[#This Row],[Date]],"mmm")</f>
        <v>Jul</v>
      </c>
      <c r="D190" s="8">
        <v>5721</v>
      </c>
      <c r="E190" s="8">
        <v>35612</v>
      </c>
      <c r="F190" s="8">
        <v>43200</v>
      </c>
      <c r="G190" s="8">
        <v>7588</v>
      </c>
      <c r="H190" s="2">
        <v>0.17564814814814814</v>
      </c>
      <c r="I190" t="s">
        <v>10</v>
      </c>
      <c r="J190" s="8">
        <v>2863</v>
      </c>
    </row>
    <row r="191" spans="1:10" x14ac:dyDescent="0.3">
      <c r="A191" s="1">
        <v>44378</v>
      </c>
      <c r="B191">
        <v>2021</v>
      </c>
      <c r="C191" t="str">
        <f>TEXT(Transformed_Data\[[#This Row],[Date]],"mmm")</f>
        <v>Jul</v>
      </c>
      <c r="D191" s="8">
        <v>5721</v>
      </c>
      <c r="E191" s="8">
        <v>35612</v>
      </c>
      <c r="F191" s="8">
        <v>43200</v>
      </c>
      <c r="G191" s="8">
        <v>7588</v>
      </c>
      <c r="H191" s="2">
        <v>0.17564814814814814</v>
      </c>
      <c r="I191" t="s">
        <v>11</v>
      </c>
      <c r="J191" s="8">
        <v>2821</v>
      </c>
    </row>
    <row r="192" spans="1:10" x14ac:dyDescent="0.3">
      <c r="A192" s="1">
        <v>44409</v>
      </c>
      <c r="B192">
        <v>2021</v>
      </c>
      <c r="C192" t="str">
        <f>TEXT(Transformed_Data\[[#This Row],[Date]],"mmm")</f>
        <v>Aug</v>
      </c>
      <c r="D192" s="8">
        <v>5843</v>
      </c>
      <c r="E192" s="8">
        <v>32843</v>
      </c>
      <c r="F192" s="8">
        <v>43200</v>
      </c>
      <c r="G192" s="8">
        <v>10357</v>
      </c>
      <c r="H192" s="2">
        <v>0.23974537037037036</v>
      </c>
      <c r="I192" t="s">
        <v>1</v>
      </c>
      <c r="J192" s="8">
        <v>6038</v>
      </c>
    </row>
    <row r="193" spans="1:10" x14ac:dyDescent="0.3">
      <c r="A193" s="1">
        <v>44409</v>
      </c>
      <c r="B193">
        <v>2021</v>
      </c>
      <c r="C193" t="str">
        <f>TEXT(Transformed_Data\[[#This Row],[Date]],"mmm")</f>
        <v>Aug</v>
      </c>
      <c r="D193" s="8">
        <v>5843</v>
      </c>
      <c r="E193" s="8">
        <v>32843</v>
      </c>
      <c r="F193" s="8">
        <v>43200</v>
      </c>
      <c r="G193" s="8">
        <v>10357</v>
      </c>
      <c r="H193" s="2">
        <v>0.23974537037037036</v>
      </c>
      <c r="I193" t="s">
        <v>2</v>
      </c>
      <c r="J193" s="8">
        <v>10000</v>
      </c>
    </row>
    <row r="194" spans="1:10" x14ac:dyDescent="0.3">
      <c r="A194" s="1">
        <v>44409</v>
      </c>
      <c r="B194">
        <v>2021</v>
      </c>
      <c r="C194" t="str">
        <f>TEXT(Transformed_Data\[[#This Row],[Date]],"mmm")</f>
        <v>Aug</v>
      </c>
      <c r="D194" s="8">
        <v>5843</v>
      </c>
      <c r="E194" s="8">
        <v>32843</v>
      </c>
      <c r="F194" s="8">
        <v>43200</v>
      </c>
      <c r="G194" s="8">
        <v>10357</v>
      </c>
      <c r="H194" s="2">
        <v>0.23974537037037036</v>
      </c>
      <c r="I194" t="s">
        <v>3</v>
      </c>
      <c r="J194" s="8">
        <v>2748</v>
      </c>
    </row>
    <row r="195" spans="1:10" x14ac:dyDescent="0.3">
      <c r="A195" s="1">
        <v>44409</v>
      </c>
      <c r="B195">
        <v>2021</v>
      </c>
      <c r="C195" t="str">
        <f>TEXT(Transformed_Data\[[#This Row],[Date]],"mmm")</f>
        <v>Aug</v>
      </c>
      <c r="D195" s="8">
        <v>5843</v>
      </c>
      <c r="E195" s="8">
        <v>32843</v>
      </c>
      <c r="F195" s="8">
        <v>43200</v>
      </c>
      <c r="G195" s="8">
        <v>10357</v>
      </c>
      <c r="H195" s="2">
        <v>0.23974537037037036</v>
      </c>
      <c r="I195" t="s">
        <v>4</v>
      </c>
      <c r="J195" s="8">
        <v>1084</v>
      </c>
    </row>
    <row r="196" spans="1:10" x14ac:dyDescent="0.3">
      <c r="A196" s="1">
        <v>44409</v>
      </c>
      <c r="B196">
        <v>2021</v>
      </c>
      <c r="C196" t="str">
        <f>TEXT(Transformed_Data\[[#This Row],[Date]],"mmm")</f>
        <v>Aug</v>
      </c>
      <c r="D196" s="8">
        <v>5843</v>
      </c>
      <c r="E196" s="8">
        <v>32843</v>
      </c>
      <c r="F196" s="8">
        <v>43200</v>
      </c>
      <c r="G196" s="8">
        <v>10357</v>
      </c>
      <c r="H196" s="2">
        <v>0.23974537037037036</v>
      </c>
      <c r="I196" t="s">
        <v>5</v>
      </c>
      <c r="J196" s="8">
        <v>1876</v>
      </c>
    </row>
    <row r="197" spans="1:10" x14ac:dyDescent="0.3">
      <c r="A197" s="1">
        <v>44409</v>
      </c>
      <c r="B197">
        <v>2021</v>
      </c>
      <c r="C197" t="str">
        <f>TEXT(Transformed_Data\[[#This Row],[Date]],"mmm")</f>
        <v>Aug</v>
      </c>
      <c r="D197" s="8">
        <v>5843</v>
      </c>
      <c r="E197" s="8">
        <v>32843</v>
      </c>
      <c r="F197" s="8">
        <v>43200</v>
      </c>
      <c r="G197" s="8">
        <v>10357</v>
      </c>
      <c r="H197" s="2">
        <v>0.23974537037037036</v>
      </c>
      <c r="I197" t="s">
        <v>6</v>
      </c>
      <c r="J197" s="8">
        <v>989</v>
      </c>
    </row>
    <row r="198" spans="1:10" x14ac:dyDescent="0.3">
      <c r="A198" s="1">
        <v>44409</v>
      </c>
      <c r="B198">
        <v>2021</v>
      </c>
      <c r="C198" t="str">
        <f>TEXT(Transformed_Data\[[#This Row],[Date]],"mmm")</f>
        <v>Aug</v>
      </c>
      <c r="D198" s="8">
        <v>5843</v>
      </c>
      <c r="E198" s="8">
        <v>32843</v>
      </c>
      <c r="F198" s="8">
        <v>43200</v>
      </c>
      <c r="G198" s="8">
        <v>10357</v>
      </c>
      <c r="H198" s="2">
        <v>0.23974537037037036</v>
      </c>
      <c r="I198" t="s">
        <v>7</v>
      </c>
      <c r="J198" s="8">
        <v>4321</v>
      </c>
    </row>
    <row r="199" spans="1:10" x14ac:dyDescent="0.3">
      <c r="A199" s="1">
        <v>44409</v>
      </c>
      <c r="B199">
        <v>2021</v>
      </c>
      <c r="C199" t="str">
        <f>TEXT(Transformed_Data\[[#This Row],[Date]],"mmm")</f>
        <v>Aug</v>
      </c>
      <c r="D199" s="8">
        <v>5843</v>
      </c>
      <c r="E199" s="8">
        <v>32843</v>
      </c>
      <c r="F199" s="8">
        <v>43200</v>
      </c>
      <c r="G199" s="8">
        <v>10357</v>
      </c>
      <c r="H199" s="2">
        <v>0.23974537037037036</v>
      </c>
      <c r="I199" t="s">
        <v>9</v>
      </c>
      <c r="J199" s="8">
        <v>0</v>
      </c>
    </row>
    <row r="200" spans="1:10" x14ac:dyDescent="0.3">
      <c r="A200" s="1">
        <v>44409</v>
      </c>
      <c r="B200">
        <v>2021</v>
      </c>
      <c r="C200" t="str">
        <f>TEXT(Transformed_Data\[[#This Row],[Date]],"mmm")</f>
        <v>Aug</v>
      </c>
      <c r="D200" s="8">
        <v>5843</v>
      </c>
      <c r="E200" s="8">
        <v>32843</v>
      </c>
      <c r="F200" s="8">
        <v>43200</v>
      </c>
      <c r="G200" s="8">
        <v>10357</v>
      </c>
      <c r="H200" s="2">
        <v>0.23974537037037036</v>
      </c>
      <c r="I200" t="s">
        <v>10</v>
      </c>
      <c r="J200" s="8">
        <v>2806</v>
      </c>
    </row>
    <row r="201" spans="1:10" x14ac:dyDescent="0.3">
      <c r="A201" s="1">
        <v>44409</v>
      </c>
      <c r="B201">
        <v>2021</v>
      </c>
      <c r="C201" t="str">
        <f>TEXT(Transformed_Data\[[#This Row],[Date]],"mmm")</f>
        <v>Aug</v>
      </c>
      <c r="D201" s="8">
        <v>5843</v>
      </c>
      <c r="E201" s="8">
        <v>32843</v>
      </c>
      <c r="F201" s="8">
        <v>43200</v>
      </c>
      <c r="G201" s="8">
        <v>10357</v>
      </c>
      <c r="H201" s="2">
        <v>0.23974537037037036</v>
      </c>
      <c r="I201" t="s">
        <v>11</v>
      </c>
      <c r="J201" s="8">
        <v>2981</v>
      </c>
    </row>
    <row r="202" spans="1:10" x14ac:dyDescent="0.3">
      <c r="A202" s="1">
        <v>44440</v>
      </c>
      <c r="B202">
        <v>2021</v>
      </c>
      <c r="C202" t="str">
        <f>TEXT(Transformed_Data\[[#This Row],[Date]],"mmm")</f>
        <v>Sep</v>
      </c>
      <c r="D202" s="8">
        <v>5483</v>
      </c>
      <c r="E202" s="8">
        <v>33360</v>
      </c>
      <c r="F202" s="8">
        <v>43200</v>
      </c>
      <c r="G202" s="8">
        <v>9840</v>
      </c>
      <c r="H202" s="2">
        <v>0.22777777777777777</v>
      </c>
      <c r="I202" t="s">
        <v>1</v>
      </c>
      <c r="J202" s="8">
        <v>5282</v>
      </c>
    </row>
    <row r="203" spans="1:10" x14ac:dyDescent="0.3">
      <c r="A203" s="1">
        <v>44440</v>
      </c>
      <c r="B203">
        <v>2021</v>
      </c>
      <c r="C203" t="str">
        <f>TEXT(Transformed_Data\[[#This Row],[Date]],"mmm")</f>
        <v>Sep</v>
      </c>
      <c r="D203" s="8">
        <v>5483</v>
      </c>
      <c r="E203" s="8">
        <v>33360</v>
      </c>
      <c r="F203" s="8">
        <v>43200</v>
      </c>
      <c r="G203" s="8">
        <v>9840</v>
      </c>
      <c r="H203" s="2">
        <v>0.22777777777777777</v>
      </c>
      <c r="I203" t="s">
        <v>2</v>
      </c>
      <c r="J203" s="8">
        <v>10000</v>
      </c>
    </row>
    <row r="204" spans="1:10" x14ac:dyDescent="0.3">
      <c r="A204" s="1">
        <v>44440</v>
      </c>
      <c r="B204">
        <v>2021</v>
      </c>
      <c r="C204" t="str">
        <f>TEXT(Transformed_Data\[[#This Row],[Date]],"mmm")</f>
        <v>Sep</v>
      </c>
      <c r="D204" s="8">
        <v>5483</v>
      </c>
      <c r="E204" s="8">
        <v>33360</v>
      </c>
      <c r="F204" s="8">
        <v>43200</v>
      </c>
      <c r="G204" s="8">
        <v>9840</v>
      </c>
      <c r="H204" s="2">
        <v>0.22777777777777777</v>
      </c>
      <c r="I204" t="s">
        <v>3</v>
      </c>
      <c r="J204" s="8">
        <v>2979</v>
      </c>
    </row>
    <row r="205" spans="1:10" x14ac:dyDescent="0.3">
      <c r="A205" s="1">
        <v>44440</v>
      </c>
      <c r="B205">
        <v>2021</v>
      </c>
      <c r="C205" t="str">
        <f>TEXT(Transformed_Data\[[#This Row],[Date]],"mmm")</f>
        <v>Sep</v>
      </c>
      <c r="D205" s="8">
        <v>5483</v>
      </c>
      <c r="E205" s="8">
        <v>33360</v>
      </c>
      <c r="F205" s="8">
        <v>43200</v>
      </c>
      <c r="G205" s="8">
        <v>9840</v>
      </c>
      <c r="H205" s="2">
        <v>0.22777777777777777</v>
      </c>
      <c r="I205" t="s">
        <v>4</v>
      </c>
      <c r="J205" s="8">
        <v>1110</v>
      </c>
    </row>
    <row r="206" spans="1:10" x14ac:dyDescent="0.3">
      <c r="A206" s="1">
        <v>44440</v>
      </c>
      <c r="B206">
        <v>2021</v>
      </c>
      <c r="C206" t="str">
        <f>TEXT(Transformed_Data\[[#This Row],[Date]],"mmm")</f>
        <v>Sep</v>
      </c>
      <c r="D206" s="8">
        <v>5483</v>
      </c>
      <c r="E206" s="8">
        <v>33360</v>
      </c>
      <c r="F206" s="8">
        <v>43200</v>
      </c>
      <c r="G206" s="8">
        <v>9840</v>
      </c>
      <c r="H206" s="2">
        <v>0.22777777777777777</v>
      </c>
      <c r="I206" t="s">
        <v>5</v>
      </c>
      <c r="J206" s="8">
        <v>2148</v>
      </c>
    </row>
    <row r="207" spans="1:10" x14ac:dyDescent="0.3">
      <c r="A207" s="1">
        <v>44440</v>
      </c>
      <c r="B207">
        <v>2021</v>
      </c>
      <c r="C207" t="str">
        <f>TEXT(Transformed_Data\[[#This Row],[Date]],"mmm")</f>
        <v>Sep</v>
      </c>
      <c r="D207" s="8">
        <v>5483</v>
      </c>
      <c r="E207" s="8">
        <v>33360</v>
      </c>
      <c r="F207" s="8">
        <v>43200</v>
      </c>
      <c r="G207" s="8">
        <v>9840</v>
      </c>
      <c r="H207" s="2">
        <v>0.22777777777777777</v>
      </c>
      <c r="I207" t="s">
        <v>6</v>
      </c>
      <c r="J207" s="8">
        <v>1509</v>
      </c>
    </row>
    <row r="208" spans="1:10" x14ac:dyDescent="0.3">
      <c r="A208" s="1">
        <v>44440</v>
      </c>
      <c r="B208">
        <v>2021</v>
      </c>
      <c r="C208" t="str">
        <f>TEXT(Transformed_Data\[[#This Row],[Date]],"mmm")</f>
        <v>Sep</v>
      </c>
      <c r="D208" s="8">
        <v>5483</v>
      </c>
      <c r="E208" s="8">
        <v>33360</v>
      </c>
      <c r="F208" s="8">
        <v>43200</v>
      </c>
      <c r="G208" s="8">
        <v>9840</v>
      </c>
      <c r="H208" s="2">
        <v>0.22777777777777777</v>
      </c>
      <c r="I208" t="s">
        <v>7</v>
      </c>
      <c r="J208" s="8">
        <v>5815</v>
      </c>
    </row>
    <row r="209" spans="1:10" x14ac:dyDescent="0.3">
      <c r="A209" s="1">
        <v>44440</v>
      </c>
      <c r="B209">
        <v>2021</v>
      </c>
      <c r="C209" t="str">
        <f>TEXT(Transformed_Data\[[#This Row],[Date]],"mmm")</f>
        <v>Sep</v>
      </c>
      <c r="D209" s="8">
        <v>5483</v>
      </c>
      <c r="E209" s="8">
        <v>33360</v>
      </c>
      <c r="F209" s="8">
        <v>43200</v>
      </c>
      <c r="G209" s="8">
        <v>9840</v>
      </c>
      <c r="H209" s="2">
        <v>0.22777777777777777</v>
      </c>
      <c r="I209" t="s">
        <v>9</v>
      </c>
      <c r="J209" s="8">
        <v>0</v>
      </c>
    </row>
    <row r="210" spans="1:10" x14ac:dyDescent="0.3">
      <c r="A210" s="1">
        <v>44440</v>
      </c>
      <c r="B210">
        <v>2021</v>
      </c>
      <c r="C210" t="str">
        <f>TEXT(Transformed_Data\[[#This Row],[Date]],"mmm")</f>
        <v>Sep</v>
      </c>
      <c r="D210" s="8">
        <v>5483</v>
      </c>
      <c r="E210" s="8">
        <v>33360</v>
      </c>
      <c r="F210" s="8">
        <v>43200</v>
      </c>
      <c r="G210" s="8">
        <v>9840</v>
      </c>
      <c r="H210" s="2">
        <v>0.22777777777777777</v>
      </c>
      <c r="I210" t="s">
        <v>10</v>
      </c>
      <c r="J210" s="8">
        <v>1817</v>
      </c>
    </row>
    <row r="211" spans="1:10" x14ac:dyDescent="0.3">
      <c r="A211" s="1">
        <v>44440</v>
      </c>
      <c r="B211">
        <v>2021</v>
      </c>
      <c r="C211" t="str">
        <f>TEXT(Transformed_Data\[[#This Row],[Date]],"mmm")</f>
        <v>Sep</v>
      </c>
      <c r="D211" s="8">
        <v>5483</v>
      </c>
      <c r="E211" s="8">
        <v>33360</v>
      </c>
      <c r="F211" s="8">
        <v>43200</v>
      </c>
      <c r="G211" s="8">
        <v>9840</v>
      </c>
      <c r="H211" s="2">
        <v>0.22777777777777777</v>
      </c>
      <c r="I211" t="s">
        <v>11</v>
      </c>
      <c r="J211" s="8">
        <v>2700</v>
      </c>
    </row>
    <row r="212" spans="1:10" x14ac:dyDescent="0.3">
      <c r="A212" s="1">
        <v>44470</v>
      </c>
      <c r="B212">
        <v>2021</v>
      </c>
      <c r="C212" t="str">
        <f>TEXT(Transformed_Data\[[#This Row],[Date]],"mmm")</f>
        <v>Oct</v>
      </c>
      <c r="D212" s="8">
        <v>6468</v>
      </c>
      <c r="E212" s="8">
        <v>32306</v>
      </c>
      <c r="F212" s="8">
        <v>43200</v>
      </c>
      <c r="G212" s="8">
        <v>10894</v>
      </c>
      <c r="H212" s="2">
        <v>0.25217592592592591</v>
      </c>
      <c r="I212" t="s">
        <v>1</v>
      </c>
      <c r="J212" s="8">
        <v>4663</v>
      </c>
    </row>
    <row r="213" spans="1:10" x14ac:dyDescent="0.3">
      <c r="A213" s="1">
        <v>44470</v>
      </c>
      <c r="B213">
        <v>2021</v>
      </c>
      <c r="C213" t="str">
        <f>TEXT(Transformed_Data\[[#This Row],[Date]],"mmm")</f>
        <v>Oct</v>
      </c>
      <c r="D213" s="8">
        <v>6468</v>
      </c>
      <c r="E213" s="8">
        <v>32306</v>
      </c>
      <c r="F213" s="8">
        <v>43200</v>
      </c>
      <c r="G213" s="8">
        <v>10894</v>
      </c>
      <c r="H213" s="2">
        <v>0.25217592592592591</v>
      </c>
      <c r="I213" t="s">
        <v>2</v>
      </c>
      <c r="J213" s="8">
        <v>10000</v>
      </c>
    </row>
    <row r="214" spans="1:10" x14ac:dyDescent="0.3">
      <c r="A214" s="1">
        <v>44470</v>
      </c>
      <c r="B214">
        <v>2021</v>
      </c>
      <c r="C214" t="str">
        <f>TEXT(Transformed_Data\[[#This Row],[Date]],"mmm")</f>
        <v>Oct</v>
      </c>
      <c r="D214" s="8">
        <v>6468</v>
      </c>
      <c r="E214" s="8">
        <v>32306</v>
      </c>
      <c r="F214" s="8">
        <v>43200</v>
      </c>
      <c r="G214" s="8">
        <v>10894</v>
      </c>
      <c r="H214" s="2">
        <v>0.25217592592592591</v>
      </c>
      <c r="I214" t="s">
        <v>3</v>
      </c>
      <c r="J214" s="8">
        <v>3353</v>
      </c>
    </row>
    <row r="215" spans="1:10" x14ac:dyDescent="0.3">
      <c r="A215" s="1">
        <v>44470</v>
      </c>
      <c r="B215">
        <v>2021</v>
      </c>
      <c r="C215" t="str">
        <f>TEXT(Transformed_Data\[[#This Row],[Date]],"mmm")</f>
        <v>Oct</v>
      </c>
      <c r="D215" s="8">
        <v>6468</v>
      </c>
      <c r="E215" s="8">
        <v>32306</v>
      </c>
      <c r="F215" s="8">
        <v>43200</v>
      </c>
      <c r="G215" s="8">
        <v>10894</v>
      </c>
      <c r="H215" s="2">
        <v>0.25217592592592591</v>
      </c>
      <c r="I215" t="s">
        <v>4</v>
      </c>
      <c r="J215" s="8">
        <v>1196</v>
      </c>
    </row>
    <row r="216" spans="1:10" x14ac:dyDescent="0.3">
      <c r="A216" s="1">
        <v>44470</v>
      </c>
      <c r="B216">
        <v>2021</v>
      </c>
      <c r="C216" t="str">
        <f>TEXT(Transformed_Data\[[#This Row],[Date]],"mmm")</f>
        <v>Oct</v>
      </c>
      <c r="D216" s="8">
        <v>6468</v>
      </c>
      <c r="E216" s="8">
        <v>32306</v>
      </c>
      <c r="F216" s="8">
        <v>43200</v>
      </c>
      <c r="G216" s="8">
        <v>10894</v>
      </c>
      <c r="H216" s="2">
        <v>0.25217592592592591</v>
      </c>
      <c r="I216" t="s">
        <v>5</v>
      </c>
      <c r="J216" s="8">
        <v>1941</v>
      </c>
    </row>
    <row r="217" spans="1:10" x14ac:dyDescent="0.3">
      <c r="A217" s="1">
        <v>44470</v>
      </c>
      <c r="B217">
        <v>2021</v>
      </c>
      <c r="C217" t="str">
        <f>TEXT(Transformed_Data\[[#This Row],[Date]],"mmm")</f>
        <v>Oct</v>
      </c>
      <c r="D217" s="8">
        <v>6468</v>
      </c>
      <c r="E217" s="8">
        <v>32306</v>
      </c>
      <c r="F217" s="8">
        <v>43200</v>
      </c>
      <c r="G217" s="8">
        <v>10894</v>
      </c>
      <c r="H217" s="2">
        <v>0.25217592592592591</v>
      </c>
      <c r="I217" t="s">
        <v>6</v>
      </c>
      <c r="J217" s="8">
        <v>1936</v>
      </c>
    </row>
    <row r="218" spans="1:10" x14ac:dyDescent="0.3">
      <c r="A218" s="1">
        <v>44470</v>
      </c>
      <c r="B218">
        <v>2021</v>
      </c>
      <c r="C218" t="str">
        <f>TEXT(Transformed_Data\[[#This Row],[Date]],"mmm")</f>
        <v>Oct</v>
      </c>
      <c r="D218" s="8">
        <v>6468</v>
      </c>
      <c r="E218" s="8">
        <v>32306</v>
      </c>
      <c r="F218" s="8">
        <v>43200</v>
      </c>
      <c r="G218" s="8">
        <v>10894</v>
      </c>
      <c r="H218" s="2">
        <v>0.25217592592592591</v>
      </c>
      <c r="I218" t="s">
        <v>7</v>
      </c>
      <c r="J218" s="8">
        <v>4863</v>
      </c>
    </row>
    <row r="219" spans="1:10" x14ac:dyDescent="0.3">
      <c r="A219" s="1">
        <v>44470</v>
      </c>
      <c r="B219">
        <v>2021</v>
      </c>
      <c r="C219" t="str">
        <f>TEXT(Transformed_Data\[[#This Row],[Date]],"mmm")</f>
        <v>Oct</v>
      </c>
      <c r="D219" s="8">
        <v>6468</v>
      </c>
      <c r="E219" s="8">
        <v>32306</v>
      </c>
      <c r="F219" s="8">
        <v>43200</v>
      </c>
      <c r="G219" s="8">
        <v>10894</v>
      </c>
      <c r="H219" s="2">
        <v>0.25217592592592591</v>
      </c>
      <c r="I219" t="s">
        <v>9</v>
      </c>
      <c r="J219" s="8">
        <v>0</v>
      </c>
    </row>
    <row r="220" spans="1:10" x14ac:dyDescent="0.3">
      <c r="A220" s="1">
        <v>44470</v>
      </c>
      <c r="B220">
        <v>2021</v>
      </c>
      <c r="C220" t="str">
        <f>TEXT(Transformed_Data\[[#This Row],[Date]],"mmm")</f>
        <v>Oct</v>
      </c>
      <c r="D220" s="8">
        <v>6468</v>
      </c>
      <c r="E220" s="8">
        <v>32306</v>
      </c>
      <c r="F220" s="8">
        <v>43200</v>
      </c>
      <c r="G220" s="8">
        <v>10894</v>
      </c>
      <c r="H220" s="2">
        <v>0.25217592592592591</v>
      </c>
      <c r="I220" t="s">
        <v>10</v>
      </c>
      <c r="J220" s="8">
        <v>2063</v>
      </c>
    </row>
    <row r="221" spans="1:10" x14ac:dyDescent="0.3">
      <c r="A221" s="1">
        <v>44470</v>
      </c>
      <c r="B221">
        <v>2021</v>
      </c>
      <c r="C221" t="str">
        <f>TEXT(Transformed_Data\[[#This Row],[Date]],"mmm")</f>
        <v>Oct</v>
      </c>
      <c r="D221" s="8">
        <v>6468</v>
      </c>
      <c r="E221" s="8">
        <v>32306</v>
      </c>
      <c r="F221" s="8">
        <v>43200</v>
      </c>
      <c r="G221" s="8">
        <v>10894</v>
      </c>
      <c r="H221" s="2">
        <v>0.25217592592592591</v>
      </c>
      <c r="I221" t="s">
        <v>11</v>
      </c>
      <c r="J221" s="8">
        <v>2291</v>
      </c>
    </row>
    <row r="222" spans="1:10" x14ac:dyDescent="0.3">
      <c r="A222" s="1">
        <v>44501</v>
      </c>
      <c r="B222">
        <v>2021</v>
      </c>
      <c r="C222" t="str">
        <f>TEXT(Transformed_Data\[[#This Row],[Date]],"mmm")</f>
        <v>Nov</v>
      </c>
      <c r="D222" s="8">
        <v>4462</v>
      </c>
      <c r="E222" s="8">
        <v>30838</v>
      </c>
      <c r="F222" s="8">
        <v>43200</v>
      </c>
      <c r="G222" s="8">
        <v>12362</v>
      </c>
      <c r="H222" s="2">
        <v>0.28615740740740742</v>
      </c>
      <c r="I222" t="s">
        <v>1</v>
      </c>
      <c r="J222" s="8">
        <v>5636</v>
      </c>
    </row>
    <row r="223" spans="1:10" x14ac:dyDescent="0.3">
      <c r="A223" s="1">
        <v>44501</v>
      </c>
      <c r="B223">
        <v>2021</v>
      </c>
      <c r="C223" t="str">
        <f>TEXT(Transformed_Data\[[#This Row],[Date]],"mmm")</f>
        <v>Nov</v>
      </c>
      <c r="D223" s="8">
        <v>4462</v>
      </c>
      <c r="E223" s="8">
        <v>30838</v>
      </c>
      <c r="F223" s="8">
        <v>43200</v>
      </c>
      <c r="G223" s="8">
        <v>12362</v>
      </c>
      <c r="H223" s="2">
        <v>0.28615740740740742</v>
      </c>
      <c r="I223" t="s">
        <v>2</v>
      </c>
      <c r="J223" s="8">
        <v>10000</v>
      </c>
    </row>
    <row r="224" spans="1:10" x14ac:dyDescent="0.3">
      <c r="A224" s="1">
        <v>44501</v>
      </c>
      <c r="B224">
        <v>2021</v>
      </c>
      <c r="C224" t="str">
        <f>TEXT(Transformed_Data\[[#This Row],[Date]],"mmm")</f>
        <v>Nov</v>
      </c>
      <c r="D224" s="8">
        <v>4462</v>
      </c>
      <c r="E224" s="8">
        <v>30838</v>
      </c>
      <c r="F224" s="8">
        <v>43200</v>
      </c>
      <c r="G224" s="8">
        <v>12362</v>
      </c>
      <c r="H224" s="2">
        <v>0.28615740740740742</v>
      </c>
      <c r="I224" t="s">
        <v>3</v>
      </c>
      <c r="J224" s="8">
        <v>2604</v>
      </c>
    </row>
    <row r="225" spans="1:10" x14ac:dyDescent="0.3">
      <c r="A225" s="1">
        <v>44501</v>
      </c>
      <c r="B225">
        <v>2021</v>
      </c>
      <c r="C225" t="str">
        <f>TEXT(Transformed_Data\[[#This Row],[Date]],"mmm")</f>
        <v>Nov</v>
      </c>
      <c r="D225" s="8">
        <v>4462</v>
      </c>
      <c r="E225" s="8">
        <v>30838</v>
      </c>
      <c r="F225" s="8">
        <v>43200</v>
      </c>
      <c r="G225" s="8">
        <v>12362</v>
      </c>
      <c r="H225" s="2">
        <v>0.28615740740740742</v>
      </c>
      <c r="I225" t="s">
        <v>4</v>
      </c>
      <c r="J225" s="8">
        <v>886</v>
      </c>
    </row>
    <row r="226" spans="1:10" x14ac:dyDescent="0.3">
      <c r="A226" s="1">
        <v>44501</v>
      </c>
      <c r="B226">
        <v>2021</v>
      </c>
      <c r="C226" t="str">
        <f>TEXT(Transformed_Data\[[#This Row],[Date]],"mmm")</f>
        <v>Nov</v>
      </c>
      <c r="D226" s="8">
        <v>4462</v>
      </c>
      <c r="E226" s="8">
        <v>30838</v>
      </c>
      <c r="F226" s="8">
        <v>43200</v>
      </c>
      <c r="G226" s="8">
        <v>12362</v>
      </c>
      <c r="H226" s="2">
        <v>0.28615740740740742</v>
      </c>
      <c r="I226" t="s">
        <v>5</v>
      </c>
      <c r="J226" s="8">
        <v>1612</v>
      </c>
    </row>
    <row r="227" spans="1:10" x14ac:dyDescent="0.3">
      <c r="A227" s="1">
        <v>44501</v>
      </c>
      <c r="B227">
        <v>2021</v>
      </c>
      <c r="C227" t="str">
        <f>TEXT(Transformed_Data\[[#This Row],[Date]],"mmm")</f>
        <v>Nov</v>
      </c>
      <c r="D227" s="8">
        <v>4462</v>
      </c>
      <c r="E227" s="8">
        <v>30838</v>
      </c>
      <c r="F227" s="8">
        <v>43200</v>
      </c>
      <c r="G227" s="8">
        <v>12362</v>
      </c>
      <c r="H227" s="2">
        <v>0.28615740740740742</v>
      </c>
      <c r="I227" t="s">
        <v>6</v>
      </c>
      <c r="J227" s="8">
        <v>1751</v>
      </c>
    </row>
    <row r="228" spans="1:10" x14ac:dyDescent="0.3">
      <c r="A228" s="1">
        <v>44501</v>
      </c>
      <c r="B228">
        <v>2021</v>
      </c>
      <c r="C228" t="str">
        <f>TEXT(Transformed_Data\[[#This Row],[Date]],"mmm")</f>
        <v>Nov</v>
      </c>
      <c r="D228" s="8">
        <v>4462</v>
      </c>
      <c r="E228" s="8">
        <v>30838</v>
      </c>
      <c r="F228" s="8">
        <v>43200</v>
      </c>
      <c r="G228" s="8">
        <v>12362</v>
      </c>
      <c r="H228" s="2">
        <v>0.28615740740740742</v>
      </c>
      <c r="I228" t="s">
        <v>7</v>
      </c>
      <c r="J228" s="8">
        <v>5207</v>
      </c>
    </row>
    <row r="229" spans="1:10" x14ac:dyDescent="0.3">
      <c r="A229" s="1">
        <v>44501</v>
      </c>
      <c r="B229">
        <v>2021</v>
      </c>
      <c r="C229" t="str">
        <f>TEXT(Transformed_Data\[[#This Row],[Date]],"mmm")</f>
        <v>Nov</v>
      </c>
      <c r="D229" s="8">
        <v>4462</v>
      </c>
      <c r="E229" s="8">
        <v>30838</v>
      </c>
      <c r="F229" s="8">
        <v>43200</v>
      </c>
      <c r="G229" s="8">
        <v>12362</v>
      </c>
      <c r="H229" s="2">
        <v>0.28615740740740742</v>
      </c>
      <c r="I229" t="s">
        <v>9</v>
      </c>
      <c r="J229" s="8">
        <v>0</v>
      </c>
    </row>
    <row r="230" spans="1:10" x14ac:dyDescent="0.3">
      <c r="A230" s="1">
        <v>44501</v>
      </c>
      <c r="B230">
        <v>2021</v>
      </c>
      <c r="C230" t="str">
        <f>TEXT(Transformed_Data\[[#This Row],[Date]],"mmm")</f>
        <v>Nov</v>
      </c>
      <c r="D230" s="8">
        <v>4462</v>
      </c>
      <c r="E230" s="8">
        <v>30838</v>
      </c>
      <c r="F230" s="8">
        <v>43200</v>
      </c>
      <c r="G230" s="8">
        <v>12362</v>
      </c>
      <c r="H230" s="2">
        <v>0.28615740740740742</v>
      </c>
      <c r="I230" t="s">
        <v>10</v>
      </c>
      <c r="J230" s="8">
        <v>1501</v>
      </c>
    </row>
    <row r="231" spans="1:10" x14ac:dyDescent="0.3">
      <c r="A231" s="1">
        <v>44501</v>
      </c>
      <c r="B231">
        <v>2021</v>
      </c>
      <c r="C231" t="str">
        <f>TEXT(Transformed_Data\[[#This Row],[Date]],"mmm")</f>
        <v>Nov</v>
      </c>
      <c r="D231" s="8">
        <v>4462</v>
      </c>
      <c r="E231" s="8">
        <v>30838</v>
      </c>
      <c r="F231" s="8">
        <v>43200</v>
      </c>
      <c r="G231" s="8">
        <v>12362</v>
      </c>
      <c r="H231" s="2">
        <v>0.28615740740740742</v>
      </c>
      <c r="I231" t="s">
        <v>11</v>
      </c>
      <c r="J231" s="8">
        <v>1641</v>
      </c>
    </row>
    <row r="232" spans="1:10" x14ac:dyDescent="0.3">
      <c r="A232" s="1">
        <v>44531</v>
      </c>
      <c r="B232">
        <v>2021</v>
      </c>
      <c r="C232" t="str">
        <f>TEXT(Transformed_Data\[[#This Row],[Date]],"mmm")</f>
        <v>Dec</v>
      </c>
      <c r="D232" s="8">
        <v>6708</v>
      </c>
      <c r="E232" s="8">
        <v>32893</v>
      </c>
      <c r="F232" s="8">
        <v>43200</v>
      </c>
      <c r="G232" s="8">
        <v>10307</v>
      </c>
      <c r="H232" s="2">
        <v>0.23858796296296297</v>
      </c>
      <c r="I232" t="s">
        <v>1</v>
      </c>
      <c r="J232" s="8">
        <v>5759</v>
      </c>
    </row>
    <row r="233" spans="1:10" x14ac:dyDescent="0.3">
      <c r="A233" s="1">
        <v>44531</v>
      </c>
      <c r="B233">
        <v>2021</v>
      </c>
      <c r="C233" t="str">
        <f>TEXT(Transformed_Data\[[#This Row],[Date]],"mmm")</f>
        <v>Dec</v>
      </c>
      <c r="D233" s="8">
        <v>6708</v>
      </c>
      <c r="E233" s="8">
        <v>32893</v>
      </c>
      <c r="F233" s="8">
        <v>43200</v>
      </c>
      <c r="G233" s="8">
        <v>10307</v>
      </c>
      <c r="H233" s="2">
        <v>0.23858796296296297</v>
      </c>
      <c r="I233" t="s">
        <v>2</v>
      </c>
      <c r="J233" s="8">
        <v>10000</v>
      </c>
    </row>
    <row r="234" spans="1:10" x14ac:dyDescent="0.3">
      <c r="A234" s="1">
        <v>44531</v>
      </c>
      <c r="B234">
        <v>2021</v>
      </c>
      <c r="C234" t="str">
        <f>TEXT(Transformed_Data\[[#This Row],[Date]],"mmm")</f>
        <v>Dec</v>
      </c>
      <c r="D234" s="8">
        <v>6708</v>
      </c>
      <c r="E234" s="8">
        <v>32893</v>
      </c>
      <c r="F234" s="8">
        <v>43200</v>
      </c>
      <c r="G234" s="8">
        <v>10307</v>
      </c>
      <c r="H234" s="2">
        <v>0.23858796296296297</v>
      </c>
      <c r="I234" t="s">
        <v>3</v>
      </c>
      <c r="J234" s="8">
        <v>2926</v>
      </c>
    </row>
    <row r="235" spans="1:10" x14ac:dyDescent="0.3">
      <c r="A235" s="1">
        <v>44531</v>
      </c>
      <c r="B235">
        <v>2021</v>
      </c>
      <c r="C235" t="str">
        <f>TEXT(Transformed_Data\[[#This Row],[Date]],"mmm")</f>
        <v>Dec</v>
      </c>
      <c r="D235" s="8">
        <v>6708</v>
      </c>
      <c r="E235" s="8">
        <v>32893</v>
      </c>
      <c r="F235" s="8">
        <v>43200</v>
      </c>
      <c r="G235" s="8">
        <v>10307</v>
      </c>
      <c r="H235" s="2">
        <v>0.23858796296296297</v>
      </c>
      <c r="I235" t="s">
        <v>4</v>
      </c>
      <c r="J235" s="8">
        <v>825</v>
      </c>
    </row>
    <row r="236" spans="1:10" x14ac:dyDescent="0.3">
      <c r="A236" s="1">
        <v>44531</v>
      </c>
      <c r="B236">
        <v>2021</v>
      </c>
      <c r="C236" t="str">
        <f>TEXT(Transformed_Data\[[#This Row],[Date]],"mmm")</f>
        <v>Dec</v>
      </c>
      <c r="D236" s="8">
        <v>6708</v>
      </c>
      <c r="E236" s="8">
        <v>32893</v>
      </c>
      <c r="F236" s="8">
        <v>43200</v>
      </c>
      <c r="G236" s="8">
        <v>10307</v>
      </c>
      <c r="H236" s="2">
        <v>0.23858796296296297</v>
      </c>
      <c r="I236" t="s">
        <v>5</v>
      </c>
      <c r="J236" s="8">
        <v>1629</v>
      </c>
    </row>
    <row r="237" spans="1:10" x14ac:dyDescent="0.3">
      <c r="A237" s="1">
        <v>44531</v>
      </c>
      <c r="B237">
        <v>2021</v>
      </c>
      <c r="C237" t="str">
        <f>TEXT(Transformed_Data\[[#This Row],[Date]],"mmm")</f>
        <v>Dec</v>
      </c>
      <c r="D237" s="8">
        <v>6708</v>
      </c>
      <c r="E237" s="8">
        <v>32893</v>
      </c>
      <c r="F237" s="8">
        <v>43200</v>
      </c>
      <c r="G237" s="8">
        <v>10307</v>
      </c>
      <c r="H237" s="2">
        <v>0.23858796296296297</v>
      </c>
      <c r="I237" t="s">
        <v>6</v>
      </c>
      <c r="J237" s="8">
        <v>1184</v>
      </c>
    </row>
    <row r="238" spans="1:10" x14ac:dyDescent="0.3">
      <c r="A238" s="1">
        <v>44531</v>
      </c>
      <c r="B238">
        <v>2021</v>
      </c>
      <c r="C238" t="str">
        <f>TEXT(Transformed_Data\[[#This Row],[Date]],"mmm")</f>
        <v>Dec</v>
      </c>
      <c r="D238" s="8">
        <v>6708</v>
      </c>
      <c r="E238" s="8">
        <v>32893</v>
      </c>
      <c r="F238" s="8">
        <v>43200</v>
      </c>
      <c r="G238" s="8">
        <v>10307</v>
      </c>
      <c r="H238" s="2">
        <v>0.23858796296296297</v>
      </c>
      <c r="I238" t="s">
        <v>7</v>
      </c>
      <c r="J238" s="8">
        <v>5287</v>
      </c>
    </row>
    <row r="239" spans="1:10" x14ac:dyDescent="0.3">
      <c r="A239" s="1">
        <v>44531</v>
      </c>
      <c r="B239">
        <v>2021</v>
      </c>
      <c r="C239" t="str">
        <f>TEXT(Transformed_Data\[[#This Row],[Date]],"mmm")</f>
        <v>Dec</v>
      </c>
      <c r="D239" s="8">
        <v>6708</v>
      </c>
      <c r="E239" s="8">
        <v>32893</v>
      </c>
      <c r="F239" s="8">
        <v>43200</v>
      </c>
      <c r="G239" s="8">
        <v>10307</v>
      </c>
      <c r="H239" s="2">
        <v>0.23858796296296297</v>
      </c>
      <c r="I239" t="s">
        <v>9</v>
      </c>
      <c r="J239" s="8">
        <v>0</v>
      </c>
    </row>
    <row r="240" spans="1:10" x14ac:dyDescent="0.3">
      <c r="A240" s="1">
        <v>44531</v>
      </c>
      <c r="B240">
        <v>2021</v>
      </c>
      <c r="C240" t="str">
        <f>TEXT(Transformed_Data\[[#This Row],[Date]],"mmm")</f>
        <v>Dec</v>
      </c>
      <c r="D240" s="8">
        <v>6708</v>
      </c>
      <c r="E240" s="8">
        <v>32893</v>
      </c>
      <c r="F240" s="8">
        <v>43200</v>
      </c>
      <c r="G240" s="8">
        <v>10307</v>
      </c>
      <c r="H240" s="2">
        <v>0.23858796296296297</v>
      </c>
      <c r="I240" t="s">
        <v>10</v>
      </c>
      <c r="J240" s="8">
        <v>2576</v>
      </c>
    </row>
    <row r="241" spans="1:10" x14ac:dyDescent="0.3">
      <c r="A241" s="1">
        <v>44531</v>
      </c>
      <c r="B241">
        <v>2021</v>
      </c>
      <c r="C241" t="str">
        <f>TEXT(Transformed_Data\[[#This Row],[Date]],"mmm")</f>
        <v>Dec</v>
      </c>
      <c r="D241" s="8">
        <v>6708</v>
      </c>
      <c r="E241" s="8">
        <v>32893</v>
      </c>
      <c r="F241" s="8">
        <v>43200</v>
      </c>
      <c r="G241" s="8">
        <v>10307</v>
      </c>
      <c r="H241" s="2">
        <v>0.23858796296296297</v>
      </c>
      <c r="I241" t="s">
        <v>11</v>
      </c>
      <c r="J241" s="8">
        <v>2707</v>
      </c>
    </row>
    <row r="242" spans="1:10" x14ac:dyDescent="0.3">
      <c r="A242" s="1">
        <v>44562</v>
      </c>
      <c r="B242">
        <v>2022</v>
      </c>
      <c r="C242" t="str">
        <f>TEXT(Transformed_Data\[[#This Row],[Date]],"mmm")</f>
        <v>Jan</v>
      </c>
      <c r="D242" s="8">
        <v>6565</v>
      </c>
      <c r="E242" s="8">
        <v>33045</v>
      </c>
      <c r="F242" s="8">
        <v>48000</v>
      </c>
      <c r="G242" s="8">
        <v>14955</v>
      </c>
      <c r="H242" s="2">
        <v>0.31156250000000002</v>
      </c>
      <c r="I242" t="s">
        <v>1</v>
      </c>
      <c r="J242" s="8">
        <v>6294</v>
      </c>
    </row>
    <row r="243" spans="1:10" x14ac:dyDescent="0.3">
      <c r="A243" s="1">
        <v>44562</v>
      </c>
      <c r="B243">
        <v>2022</v>
      </c>
      <c r="C243" t="str">
        <f>TEXT(Transformed_Data\[[#This Row],[Date]],"mmm")</f>
        <v>Jan</v>
      </c>
      <c r="D243" s="8">
        <v>6565</v>
      </c>
      <c r="E243" s="8">
        <v>33045</v>
      </c>
      <c r="F243" s="8">
        <v>48000</v>
      </c>
      <c r="G243" s="8">
        <v>14955</v>
      </c>
      <c r="H243" s="2">
        <v>0.31156250000000002</v>
      </c>
      <c r="I243" t="s">
        <v>2</v>
      </c>
      <c r="J243" s="8">
        <v>10000</v>
      </c>
    </row>
    <row r="244" spans="1:10" x14ac:dyDescent="0.3">
      <c r="A244" s="1">
        <v>44562</v>
      </c>
      <c r="B244">
        <v>2022</v>
      </c>
      <c r="C244" t="str">
        <f>TEXT(Transformed_Data\[[#This Row],[Date]],"mmm")</f>
        <v>Jan</v>
      </c>
      <c r="D244" s="8">
        <v>6565</v>
      </c>
      <c r="E244" s="8">
        <v>33045</v>
      </c>
      <c r="F244" s="8">
        <v>48000</v>
      </c>
      <c r="G244" s="8">
        <v>14955</v>
      </c>
      <c r="H244" s="2">
        <v>0.31156250000000002</v>
      </c>
      <c r="I244" t="s">
        <v>3</v>
      </c>
      <c r="J244" s="8">
        <v>2962</v>
      </c>
    </row>
    <row r="245" spans="1:10" x14ac:dyDescent="0.3">
      <c r="A245" s="1">
        <v>44562</v>
      </c>
      <c r="B245">
        <v>2022</v>
      </c>
      <c r="C245" t="str">
        <f>TEXT(Transformed_Data\[[#This Row],[Date]],"mmm")</f>
        <v>Jan</v>
      </c>
      <c r="D245" s="8">
        <v>6565</v>
      </c>
      <c r="E245" s="8">
        <v>33045</v>
      </c>
      <c r="F245" s="8">
        <v>48000</v>
      </c>
      <c r="G245" s="8">
        <v>14955</v>
      </c>
      <c r="H245" s="2">
        <v>0.31156250000000002</v>
      </c>
      <c r="I245" t="s">
        <v>4</v>
      </c>
      <c r="J245" s="8">
        <v>902</v>
      </c>
    </row>
    <row r="246" spans="1:10" x14ac:dyDescent="0.3">
      <c r="A246" s="1">
        <v>44562</v>
      </c>
      <c r="B246">
        <v>2022</v>
      </c>
      <c r="C246" t="str">
        <f>TEXT(Transformed_Data\[[#This Row],[Date]],"mmm")</f>
        <v>Jan</v>
      </c>
      <c r="D246" s="8">
        <v>6565</v>
      </c>
      <c r="E246" s="8">
        <v>33045</v>
      </c>
      <c r="F246" s="8">
        <v>48000</v>
      </c>
      <c r="G246" s="8">
        <v>14955</v>
      </c>
      <c r="H246" s="2">
        <v>0.31156250000000002</v>
      </c>
      <c r="I246" t="s">
        <v>5</v>
      </c>
      <c r="J246" s="8">
        <v>1683</v>
      </c>
    </row>
    <row r="247" spans="1:10" x14ac:dyDescent="0.3">
      <c r="A247" s="1">
        <v>44562</v>
      </c>
      <c r="B247">
        <v>2022</v>
      </c>
      <c r="C247" t="str">
        <f>TEXT(Transformed_Data\[[#This Row],[Date]],"mmm")</f>
        <v>Jan</v>
      </c>
      <c r="D247" s="8">
        <v>6565</v>
      </c>
      <c r="E247" s="8">
        <v>33045</v>
      </c>
      <c r="F247" s="8">
        <v>48000</v>
      </c>
      <c r="G247" s="8">
        <v>14955</v>
      </c>
      <c r="H247" s="2">
        <v>0.31156250000000002</v>
      </c>
      <c r="I247" t="s">
        <v>6</v>
      </c>
      <c r="J247" s="8">
        <v>1635</v>
      </c>
    </row>
    <row r="248" spans="1:10" x14ac:dyDescent="0.3">
      <c r="A248" s="1">
        <v>44562</v>
      </c>
      <c r="B248">
        <v>2022</v>
      </c>
      <c r="C248" t="str">
        <f>TEXT(Transformed_Data\[[#This Row],[Date]],"mmm")</f>
        <v>Jan</v>
      </c>
      <c r="D248" s="8">
        <v>6565</v>
      </c>
      <c r="E248" s="8">
        <v>33045</v>
      </c>
      <c r="F248" s="8">
        <v>48000</v>
      </c>
      <c r="G248" s="8">
        <v>14955</v>
      </c>
      <c r="H248" s="2">
        <v>0.31156250000000002</v>
      </c>
      <c r="I248" t="s">
        <v>7</v>
      </c>
      <c r="J248" s="8">
        <v>6547</v>
      </c>
    </row>
    <row r="249" spans="1:10" x14ac:dyDescent="0.3">
      <c r="A249" s="1">
        <v>44562</v>
      </c>
      <c r="B249">
        <v>2022</v>
      </c>
      <c r="C249" t="str">
        <f>TEXT(Transformed_Data\[[#This Row],[Date]],"mmm")</f>
        <v>Jan</v>
      </c>
      <c r="D249" s="8">
        <v>6565</v>
      </c>
      <c r="E249" s="8">
        <v>33045</v>
      </c>
      <c r="F249" s="8">
        <v>48000</v>
      </c>
      <c r="G249" s="8">
        <v>14955</v>
      </c>
      <c r="H249" s="2">
        <v>0.31156250000000002</v>
      </c>
      <c r="I249" t="s">
        <v>9</v>
      </c>
      <c r="J249" s="8">
        <v>0</v>
      </c>
    </row>
    <row r="250" spans="1:10" x14ac:dyDescent="0.3">
      <c r="A250" s="1">
        <v>44562</v>
      </c>
      <c r="B250">
        <v>2022</v>
      </c>
      <c r="C250" t="str">
        <f>TEXT(Transformed_Data\[[#This Row],[Date]],"mmm")</f>
        <v>Jan</v>
      </c>
      <c r="D250" s="8">
        <v>6565</v>
      </c>
      <c r="E250" s="8">
        <v>33045</v>
      </c>
      <c r="F250" s="8">
        <v>48000</v>
      </c>
      <c r="G250" s="8">
        <v>14955</v>
      </c>
      <c r="H250" s="2">
        <v>0.31156250000000002</v>
      </c>
      <c r="I250" t="s">
        <v>10</v>
      </c>
      <c r="J250" s="8">
        <v>1622</v>
      </c>
    </row>
    <row r="251" spans="1:10" x14ac:dyDescent="0.3">
      <c r="A251" s="1">
        <v>44562</v>
      </c>
      <c r="B251">
        <v>2022</v>
      </c>
      <c r="C251" t="str">
        <f>TEXT(Transformed_Data\[[#This Row],[Date]],"mmm")</f>
        <v>Jan</v>
      </c>
      <c r="D251" s="8">
        <v>6565</v>
      </c>
      <c r="E251" s="8">
        <v>33045</v>
      </c>
      <c r="F251" s="8">
        <v>48000</v>
      </c>
      <c r="G251" s="8">
        <v>14955</v>
      </c>
      <c r="H251" s="2">
        <v>0.31156250000000002</v>
      </c>
      <c r="I251" t="s">
        <v>11</v>
      </c>
      <c r="J251" s="8">
        <v>1400</v>
      </c>
    </row>
    <row r="252" spans="1:10" x14ac:dyDescent="0.3">
      <c r="A252" s="1">
        <v>44593</v>
      </c>
      <c r="B252">
        <v>2022</v>
      </c>
      <c r="C252" t="str">
        <f>TEXT(Transformed_Data\[[#This Row],[Date]],"mmm")</f>
        <v>Feb</v>
      </c>
      <c r="D252" s="8">
        <v>7239</v>
      </c>
      <c r="E252" s="8">
        <v>33973</v>
      </c>
      <c r="F252" s="8">
        <v>48000</v>
      </c>
      <c r="G252" s="8">
        <v>14027</v>
      </c>
      <c r="H252" s="2">
        <v>0.29222916666666665</v>
      </c>
      <c r="I252" t="s">
        <v>1</v>
      </c>
      <c r="J252" s="8">
        <v>6931</v>
      </c>
    </row>
    <row r="253" spans="1:10" x14ac:dyDescent="0.3">
      <c r="A253" s="1">
        <v>44593</v>
      </c>
      <c r="B253">
        <v>2022</v>
      </c>
      <c r="C253" t="str">
        <f>TEXT(Transformed_Data\[[#This Row],[Date]],"mmm")</f>
        <v>Feb</v>
      </c>
      <c r="D253" s="8">
        <v>7239</v>
      </c>
      <c r="E253" s="8">
        <v>33973</v>
      </c>
      <c r="F253" s="8">
        <v>48000</v>
      </c>
      <c r="G253" s="8">
        <v>14027</v>
      </c>
      <c r="H253" s="2">
        <v>0.29222916666666665</v>
      </c>
      <c r="I253" t="s">
        <v>2</v>
      </c>
      <c r="J253" s="8">
        <v>10000</v>
      </c>
    </row>
    <row r="254" spans="1:10" x14ac:dyDescent="0.3">
      <c r="A254" s="1">
        <v>44593</v>
      </c>
      <c r="B254">
        <v>2022</v>
      </c>
      <c r="C254" t="str">
        <f>TEXT(Transformed_Data\[[#This Row],[Date]],"mmm")</f>
        <v>Feb</v>
      </c>
      <c r="D254" s="8">
        <v>7239</v>
      </c>
      <c r="E254" s="8">
        <v>33973</v>
      </c>
      <c r="F254" s="8">
        <v>48000</v>
      </c>
      <c r="G254" s="8">
        <v>14027</v>
      </c>
      <c r="H254" s="2">
        <v>0.29222916666666665</v>
      </c>
      <c r="I254" t="s">
        <v>3</v>
      </c>
      <c r="J254" s="8">
        <v>2481</v>
      </c>
    </row>
    <row r="255" spans="1:10" x14ac:dyDescent="0.3">
      <c r="A255" s="1">
        <v>44593</v>
      </c>
      <c r="B255">
        <v>2022</v>
      </c>
      <c r="C255" t="str">
        <f>TEXT(Transformed_Data\[[#This Row],[Date]],"mmm")</f>
        <v>Feb</v>
      </c>
      <c r="D255" s="8">
        <v>7239</v>
      </c>
      <c r="E255" s="8">
        <v>33973</v>
      </c>
      <c r="F255" s="8">
        <v>48000</v>
      </c>
      <c r="G255" s="8">
        <v>14027</v>
      </c>
      <c r="H255" s="2">
        <v>0.29222916666666665</v>
      </c>
      <c r="I255" t="s">
        <v>4</v>
      </c>
      <c r="J255" s="8">
        <v>1094</v>
      </c>
    </row>
    <row r="256" spans="1:10" x14ac:dyDescent="0.3">
      <c r="A256" s="1">
        <v>44593</v>
      </c>
      <c r="B256">
        <v>2022</v>
      </c>
      <c r="C256" t="str">
        <f>TEXT(Transformed_Data\[[#This Row],[Date]],"mmm")</f>
        <v>Feb</v>
      </c>
      <c r="D256" s="8">
        <v>7239</v>
      </c>
      <c r="E256" s="8">
        <v>33973</v>
      </c>
      <c r="F256" s="8">
        <v>48000</v>
      </c>
      <c r="G256" s="8">
        <v>14027</v>
      </c>
      <c r="H256" s="2">
        <v>0.29222916666666665</v>
      </c>
      <c r="I256" t="s">
        <v>5</v>
      </c>
      <c r="J256" s="8">
        <v>2010</v>
      </c>
    </row>
    <row r="257" spans="1:10" x14ac:dyDescent="0.3">
      <c r="A257" s="1">
        <v>44593</v>
      </c>
      <c r="B257">
        <v>2022</v>
      </c>
      <c r="C257" t="str">
        <f>TEXT(Transformed_Data\[[#This Row],[Date]],"mmm")</f>
        <v>Feb</v>
      </c>
      <c r="D257" s="8">
        <v>7239</v>
      </c>
      <c r="E257" s="8">
        <v>33973</v>
      </c>
      <c r="F257" s="8">
        <v>48000</v>
      </c>
      <c r="G257" s="8">
        <v>14027</v>
      </c>
      <c r="H257" s="2">
        <v>0.29222916666666665</v>
      </c>
      <c r="I257" t="s">
        <v>6</v>
      </c>
      <c r="J257" s="8">
        <v>997</v>
      </c>
    </row>
    <row r="258" spans="1:10" x14ac:dyDescent="0.3">
      <c r="A258" s="1">
        <v>44593</v>
      </c>
      <c r="B258">
        <v>2022</v>
      </c>
      <c r="C258" t="str">
        <f>TEXT(Transformed_Data\[[#This Row],[Date]],"mmm")</f>
        <v>Feb</v>
      </c>
      <c r="D258" s="8">
        <v>7239</v>
      </c>
      <c r="E258" s="8">
        <v>33973</v>
      </c>
      <c r="F258" s="8">
        <v>48000</v>
      </c>
      <c r="G258" s="8">
        <v>14027</v>
      </c>
      <c r="H258" s="2">
        <v>0.29222916666666665</v>
      </c>
      <c r="I258" t="s">
        <v>7</v>
      </c>
      <c r="J258" s="8">
        <v>5161</v>
      </c>
    </row>
    <row r="259" spans="1:10" x14ac:dyDescent="0.3">
      <c r="A259" s="1">
        <v>44593</v>
      </c>
      <c r="B259">
        <v>2022</v>
      </c>
      <c r="C259" t="str">
        <f>TEXT(Transformed_Data\[[#This Row],[Date]],"mmm")</f>
        <v>Feb</v>
      </c>
      <c r="D259" s="8">
        <v>7239</v>
      </c>
      <c r="E259" s="8">
        <v>33973</v>
      </c>
      <c r="F259" s="8">
        <v>48000</v>
      </c>
      <c r="G259" s="8">
        <v>14027</v>
      </c>
      <c r="H259" s="2">
        <v>0.29222916666666665</v>
      </c>
      <c r="I259" t="s">
        <v>9</v>
      </c>
      <c r="J259" s="8">
        <v>0</v>
      </c>
    </row>
    <row r="260" spans="1:10" x14ac:dyDescent="0.3">
      <c r="A260" s="1">
        <v>44593</v>
      </c>
      <c r="B260">
        <v>2022</v>
      </c>
      <c r="C260" t="str">
        <f>TEXT(Transformed_Data\[[#This Row],[Date]],"mmm")</f>
        <v>Feb</v>
      </c>
      <c r="D260" s="8">
        <v>7239</v>
      </c>
      <c r="E260" s="8">
        <v>33973</v>
      </c>
      <c r="F260" s="8">
        <v>48000</v>
      </c>
      <c r="G260" s="8">
        <v>14027</v>
      </c>
      <c r="H260" s="2">
        <v>0.29222916666666665</v>
      </c>
      <c r="I260" t="s">
        <v>10</v>
      </c>
      <c r="J260" s="8">
        <v>3691</v>
      </c>
    </row>
    <row r="261" spans="1:10" x14ac:dyDescent="0.3">
      <c r="A261" s="1">
        <v>44593</v>
      </c>
      <c r="B261">
        <v>2022</v>
      </c>
      <c r="C261" t="str">
        <f>TEXT(Transformed_Data\[[#This Row],[Date]],"mmm")</f>
        <v>Feb</v>
      </c>
      <c r="D261" s="8">
        <v>7239</v>
      </c>
      <c r="E261" s="8">
        <v>33973</v>
      </c>
      <c r="F261" s="8">
        <v>48000</v>
      </c>
      <c r="G261" s="8">
        <v>14027</v>
      </c>
      <c r="H261" s="2">
        <v>0.29222916666666665</v>
      </c>
      <c r="I261" t="s">
        <v>11</v>
      </c>
      <c r="J261" s="8">
        <v>1608</v>
      </c>
    </row>
    <row r="262" spans="1:10" x14ac:dyDescent="0.3">
      <c r="A262" s="1">
        <v>44621</v>
      </c>
      <c r="B262">
        <v>2022</v>
      </c>
      <c r="C262" t="str">
        <f>TEXT(Transformed_Data\[[#This Row],[Date]],"mmm")</f>
        <v>Mar</v>
      </c>
      <c r="D262" s="8">
        <v>5887</v>
      </c>
      <c r="E262" s="8">
        <v>36154</v>
      </c>
      <c r="F262" s="8">
        <v>48000</v>
      </c>
      <c r="G262" s="8">
        <v>11846</v>
      </c>
      <c r="H262" s="2">
        <v>0.24679166666666666</v>
      </c>
      <c r="I262" t="s">
        <v>1</v>
      </c>
      <c r="J262" s="8">
        <v>6511</v>
      </c>
    </row>
    <row r="263" spans="1:10" x14ac:dyDescent="0.3">
      <c r="A263" s="1">
        <v>44621</v>
      </c>
      <c r="B263">
        <v>2022</v>
      </c>
      <c r="C263" t="str">
        <f>TEXT(Transformed_Data\[[#This Row],[Date]],"mmm")</f>
        <v>Mar</v>
      </c>
      <c r="D263" s="8">
        <v>5887</v>
      </c>
      <c r="E263" s="8">
        <v>36154</v>
      </c>
      <c r="F263" s="8">
        <v>48000</v>
      </c>
      <c r="G263" s="8">
        <v>11846</v>
      </c>
      <c r="H263" s="2">
        <v>0.24679166666666666</v>
      </c>
      <c r="I263" t="s">
        <v>2</v>
      </c>
      <c r="J263" s="8">
        <v>10000</v>
      </c>
    </row>
    <row r="264" spans="1:10" x14ac:dyDescent="0.3">
      <c r="A264" s="1">
        <v>44621</v>
      </c>
      <c r="B264">
        <v>2022</v>
      </c>
      <c r="C264" t="str">
        <f>TEXT(Transformed_Data\[[#This Row],[Date]],"mmm")</f>
        <v>Mar</v>
      </c>
      <c r="D264" s="8">
        <v>5887</v>
      </c>
      <c r="E264" s="8">
        <v>36154</v>
      </c>
      <c r="F264" s="8">
        <v>48000</v>
      </c>
      <c r="G264" s="8">
        <v>11846</v>
      </c>
      <c r="H264" s="2">
        <v>0.24679166666666666</v>
      </c>
      <c r="I264" t="s">
        <v>3</v>
      </c>
      <c r="J264" s="8">
        <v>2263</v>
      </c>
    </row>
    <row r="265" spans="1:10" x14ac:dyDescent="0.3">
      <c r="A265" s="1">
        <v>44621</v>
      </c>
      <c r="B265">
        <v>2022</v>
      </c>
      <c r="C265" t="str">
        <f>TEXT(Transformed_Data\[[#This Row],[Date]],"mmm")</f>
        <v>Mar</v>
      </c>
      <c r="D265" s="8">
        <v>5887</v>
      </c>
      <c r="E265" s="8">
        <v>36154</v>
      </c>
      <c r="F265" s="8">
        <v>48000</v>
      </c>
      <c r="G265" s="8">
        <v>11846</v>
      </c>
      <c r="H265" s="2">
        <v>0.24679166666666666</v>
      </c>
      <c r="I265" t="s">
        <v>4</v>
      </c>
      <c r="J265" s="8">
        <v>1142</v>
      </c>
    </row>
    <row r="266" spans="1:10" x14ac:dyDescent="0.3">
      <c r="A266" s="1">
        <v>44621</v>
      </c>
      <c r="B266">
        <v>2022</v>
      </c>
      <c r="C266" t="str">
        <f>TEXT(Transformed_Data\[[#This Row],[Date]],"mmm")</f>
        <v>Mar</v>
      </c>
      <c r="D266" s="8">
        <v>5887</v>
      </c>
      <c r="E266" s="8">
        <v>36154</v>
      </c>
      <c r="F266" s="8">
        <v>48000</v>
      </c>
      <c r="G266" s="8">
        <v>11846</v>
      </c>
      <c r="H266" s="2">
        <v>0.24679166666666666</v>
      </c>
      <c r="I266" t="s">
        <v>5</v>
      </c>
      <c r="J266" s="8">
        <v>2431</v>
      </c>
    </row>
    <row r="267" spans="1:10" x14ac:dyDescent="0.3">
      <c r="A267" s="1">
        <v>44621</v>
      </c>
      <c r="B267">
        <v>2022</v>
      </c>
      <c r="C267" t="str">
        <f>TEXT(Transformed_Data\[[#This Row],[Date]],"mmm")</f>
        <v>Mar</v>
      </c>
      <c r="D267" s="8">
        <v>5887</v>
      </c>
      <c r="E267" s="8">
        <v>36154</v>
      </c>
      <c r="F267" s="8">
        <v>48000</v>
      </c>
      <c r="G267" s="8">
        <v>11846</v>
      </c>
      <c r="H267" s="2">
        <v>0.24679166666666666</v>
      </c>
      <c r="I267" t="s">
        <v>6</v>
      </c>
      <c r="J267" s="8">
        <v>1459</v>
      </c>
    </row>
    <row r="268" spans="1:10" x14ac:dyDescent="0.3">
      <c r="A268" s="1">
        <v>44621</v>
      </c>
      <c r="B268">
        <v>2022</v>
      </c>
      <c r="C268" t="str">
        <f>TEXT(Transformed_Data\[[#This Row],[Date]],"mmm")</f>
        <v>Mar</v>
      </c>
      <c r="D268" s="8">
        <v>5887</v>
      </c>
      <c r="E268" s="8">
        <v>36154</v>
      </c>
      <c r="F268" s="8">
        <v>48000</v>
      </c>
      <c r="G268" s="8">
        <v>11846</v>
      </c>
      <c r="H268" s="2">
        <v>0.24679166666666666</v>
      </c>
      <c r="I268" t="s">
        <v>7</v>
      </c>
      <c r="J268" s="8">
        <v>6029</v>
      </c>
    </row>
    <row r="269" spans="1:10" x14ac:dyDescent="0.3">
      <c r="A269" s="1">
        <v>44621</v>
      </c>
      <c r="B269">
        <v>2022</v>
      </c>
      <c r="C269" t="str">
        <f>TEXT(Transformed_Data\[[#This Row],[Date]],"mmm")</f>
        <v>Mar</v>
      </c>
      <c r="D269" s="8">
        <v>5887</v>
      </c>
      <c r="E269" s="8">
        <v>36154</v>
      </c>
      <c r="F269" s="8">
        <v>48000</v>
      </c>
      <c r="G269" s="8">
        <v>11846</v>
      </c>
      <c r="H269" s="2">
        <v>0.24679166666666666</v>
      </c>
      <c r="I269" t="s">
        <v>9</v>
      </c>
      <c r="J269" s="8">
        <v>0</v>
      </c>
    </row>
    <row r="270" spans="1:10" x14ac:dyDescent="0.3">
      <c r="A270" s="1">
        <v>44621</v>
      </c>
      <c r="B270">
        <v>2022</v>
      </c>
      <c r="C270" t="str">
        <f>TEXT(Transformed_Data\[[#This Row],[Date]],"mmm")</f>
        <v>Mar</v>
      </c>
      <c r="D270" s="8">
        <v>5887</v>
      </c>
      <c r="E270" s="8">
        <v>36154</v>
      </c>
      <c r="F270" s="8">
        <v>48000</v>
      </c>
      <c r="G270" s="8">
        <v>11846</v>
      </c>
      <c r="H270" s="2">
        <v>0.24679166666666666</v>
      </c>
      <c r="I270" t="s">
        <v>10</v>
      </c>
      <c r="J270" s="8">
        <v>3950</v>
      </c>
    </row>
    <row r="271" spans="1:10" x14ac:dyDescent="0.3">
      <c r="A271" s="1">
        <v>44621</v>
      </c>
      <c r="B271">
        <v>2022</v>
      </c>
      <c r="C271" t="str">
        <f>TEXT(Transformed_Data\[[#This Row],[Date]],"mmm")</f>
        <v>Mar</v>
      </c>
      <c r="D271" s="8">
        <v>5887</v>
      </c>
      <c r="E271" s="8">
        <v>36154</v>
      </c>
      <c r="F271" s="8">
        <v>48000</v>
      </c>
      <c r="G271" s="8">
        <v>11846</v>
      </c>
      <c r="H271" s="2">
        <v>0.24679166666666666</v>
      </c>
      <c r="I271" t="s">
        <v>11</v>
      </c>
      <c r="J271" s="8">
        <v>2369</v>
      </c>
    </row>
    <row r="272" spans="1:10" x14ac:dyDescent="0.3">
      <c r="A272" s="1">
        <v>44652</v>
      </c>
      <c r="B272">
        <v>2022</v>
      </c>
      <c r="C272" t="str">
        <f>TEXT(Transformed_Data\[[#This Row],[Date]],"mmm")</f>
        <v>Apr</v>
      </c>
      <c r="D272" s="8">
        <v>6437</v>
      </c>
      <c r="E272" s="8">
        <v>34775</v>
      </c>
      <c r="F272" s="8">
        <v>48000</v>
      </c>
      <c r="G272" s="8">
        <v>13225</v>
      </c>
      <c r="H272" s="2">
        <v>0.27552083333333333</v>
      </c>
      <c r="I272" t="s">
        <v>1</v>
      </c>
      <c r="J272" s="8">
        <v>6911</v>
      </c>
    </row>
    <row r="273" spans="1:10" x14ac:dyDescent="0.3">
      <c r="A273" s="1">
        <v>44652</v>
      </c>
      <c r="B273">
        <v>2022</v>
      </c>
      <c r="C273" t="str">
        <f>TEXT(Transformed_Data\[[#This Row],[Date]],"mmm")</f>
        <v>Apr</v>
      </c>
      <c r="D273" s="8">
        <v>6437</v>
      </c>
      <c r="E273" s="8">
        <v>34775</v>
      </c>
      <c r="F273" s="8">
        <v>48000</v>
      </c>
      <c r="G273" s="8">
        <v>13225</v>
      </c>
      <c r="H273" s="2">
        <v>0.27552083333333333</v>
      </c>
      <c r="I273" t="s">
        <v>2</v>
      </c>
      <c r="J273" s="8">
        <v>10000</v>
      </c>
    </row>
    <row r="274" spans="1:10" x14ac:dyDescent="0.3">
      <c r="A274" s="1">
        <v>44652</v>
      </c>
      <c r="B274">
        <v>2022</v>
      </c>
      <c r="C274" t="str">
        <f>TEXT(Transformed_Data\[[#This Row],[Date]],"mmm")</f>
        <v>Apr</v>
      </c>
      <c r="D274" s="8">
        <v>6437</v>
      </c>
      <c r="E274" s="8">
        <v>34775</v>
      </c>
      <c r="F274" s="8">
        <v>48000</v>
      </c>
      <c r="G274" s="8">
        <v>13225</v>
      </c>
      <c r="H274" s="2">
        <v>0.27552083333333333</v>
      </c>
      <c r="I274" t="s">
        <v>3</v>
      </c>
      <c r="J274" s="8">
        <v>2428</v>
      </c>
    </row>
    <row r="275" spans="1:10" x14ac:dyDescent="0.3">
      <c r="A275" s="1">
        <v>44652</v>
      </c>
      <c r="B275">
        <v>2022</v>
      </c>
      <c r="C275" t="str">
        <f>TEXT(Transformed_Data\[[#This Row],[Date]],"mmm")</f>
        <v>Apr</v>
      </c>
      <c r="D275" s="8">
        <v>6437</v>
      </c>
      <c r="E275" s="8">
        <v>34775</v>
      </c>
      <c r="F275" s="8">
        <v>48000</v>
      </c>
      <c r="G275" s="8">
        <v>13225</v>
      </c>
      <c r="H275" s="2">
        <v>0.27552083333333333</v>
      </c>
      <c r="I275" t="s">
        <v>4</v>
      </c>
      <c r="J275" s="8">
        <v>1123</v>
      </c>
    </row>
    <row r="276" spans="1:10" x14ac:dyDescent="0.3">
      <c r="A276" s="1">
        <v>44652</v>
      </c>
      <c r="B276">
        <v>2022</v>
      </c>
      <c r="C276" t="str">
        <f>TEXT(Transformed_Data\[[#This Row],[Date]],"mmm")</f>
        <v>Apr</v>
      </c>
      <c r="D276" s="8">
        <v>6437</v>
      </c>
      <c r="E276" s="8">
        <v>34775</v>
      </c>
      <c r="F276" s="8">
        <v>48000</v>
      </c>
      <c r="G276" s="8">
        <v>13225</v>
      </c>
      <c r="H276" s="2">
        <v>0.27552083333333333</v>
      </c>
      <c r="I276" t="s">
        <v>5</v>
      </c>
      <c r="J276" s="8">
        <v>2139</v>
      </c>
    </row>
    <row r="277" spans="1:10" x14ac:dyDescent="0.3">
      <c r="A277" s="1">
        <v>44652</v>
      </c>
      <c r="B277">
        <v>2022</v>
      </c>
      <c r="C277" t="str">
        <f>TEXT(Transformed_Data\[[#This Row],[Date]],"mmm")</f>
        <v>Apr</v>
      </c>
      <c r="D277" s="8">
        <v>6437</v>
      </c>
      <c r="E277" s="8">
        <v>34775</v>
      </c>
      <c r="F277" s="8">
        <v>48000</v>
      </c>
      <c r="G277" s="8">
        <v>13225</v>
      </c>
      <c r="H277" s="2">
        <v>0.27552083333333333</v>
      </c>
      <c r="I277" t="s">
        <v>6</v>
      </c>
      <c r="J277" s="8">
        <v>1288</v>
      </c>
    </row>
    <row r="278" spans="1:10" x14ac:dyDescent="0.3">
      <c r="A278" s="1">
        <v>44652</v>
      </c>
      <c r="B278">
        <v>2022</v>
      </c>
      <c r="C278" t="str">
        <f>TEXT(Transformed_Data\[[#This Row],[Date]],"mmm")</f>
        <v>Apr</v>
      </c>
      <c r="D278" s="8">
        <v>6437</v>
      </c>
      <c r="E278" s="8">
        <v>34775</v>
      </c>
      <c r="F278" s="8">
        <v>48000</v>
      </c>
      <c r="G278" s="8">
        <v>13225</v>
      </c>
      <c r="H278" s="2">
        <v>0.27552083333333333</v>
      </c>
      <c r="I278" t="s">
        <v>7</v>
      </c>
      <c r="J278" s="8">
        <v>5130</v>
      </c>
    </row>
    <row r="279" spans="1:10" x14ac:dyDescent="0.3">
      <c r="A279" s="1">
        <v>44652</v>
      </c>
      <c r="B279">
        <v>2022</v>
      </c>
      <c r="C279" t="str">
        <f>TEXT(Transformed_Data\[[#This Row],[Date]],"mmm")</f>
        <v>Apr</v>
      </c>
      <c r="D279" s="8">
        <v>6437</v>
      </c>
      <c r="E279" s="8">
        <v>34775</v>
      </c>
      <c r="F279" s="8">
        <v>48000</v>
      </c>
      <c r="G279" s="8">
        <v>13225</v>
      </c>
      <c r="H279" s="2">
        <v>0.27552083333333333</v>
      </c>
      <c r="I279" t="s">
        <v>9</v>
      </c>
      <c r="J279" s="8">
        <v>0</v>
      </c>
    </row>
    <row r="280" spans="1:10" x14ac:dyDescent="0.3">
      <c r="A280" s="1">
        <v>44652</v>
      </c>
      <c r="B280">
        <v>2022</v>
      </c>
      <c r="C280" t="str">
        <f>TEXT(Transformed_Data\[[#This Row],[Date]],"mmm")</f>
        <v>Apr</v>
      </c>
      <c r="D280" s="8">
        <v>6437</v>
      </c>
      <c r="E280" s="8">
        <v>34775</v>
      </c>
      <c r="F280" s="8">
        <v>48000</v>
      </c>
      <c r="G280" s="8">
        <v>13225</v>
      </c>
      <c r="H280" s="2">
        <v>0.27552083333333333</v>
      </c>
      <c r="I280" t="s">
        <v>10</v>
      </c>
      <c r="J280" s="8">
        <v>3885</v>
      </c>
    </row>
    <row r="281" spans="1:10" x14ac:dyDescent="0.3">
      <c r="A281" s="1">
        <v>44652</v>
      </c>
      <c r="B281">
        <v>2022</v>
      </c>
      <c r="C281" t="str">
        <f>TEXT(Transformed_Data\[[#This Row],[Date]],"mmm")</f>
        <v>Apr</v>
      </c>
      <c r="D281" s="8">
        <v>6437</v>
      </c>
      <c r="E281" s="8">
        <v>34775</v>
      </c>
      <c r="F281" s="8">
        <v>48000</v>
      </c>
      <c r="G281" s="8">
        <v>13225</v>
      </c>
      <c r="H281" s="2">
        <v>0.27552083333333333</v>
      </c>
      <c r="I281" t="s">
        <v>11</v>
      </c>
      <c r="J281" s="8">
        <v>1871</v>
      </c>
    </row>
    <row r="282" spans="1:10" x14ac:dyDescent="0.3">
      <c r="A282" s="1">
        <v>44682</v>
      </c>
      <c r="B282">
        <v>2022</v>
      </c>
      <c r="C282" t="str">
        <f>TEXT(Transformed_Data\[[#This Row],[Date]],"mmm")</f>
        <v>May</v>
      </c>
      <c r="D282" s="8">
        <v>8722</v>
      </c>
      <c r="E282" s="8">
        <v>34161</v>
      </c>
      <c r="F282" s="8">
        <v>48000</v>
      </c>
      <c r="G282" s="8">
        <v>13839</v>
      </c>
      <c r="H282" s="2">
        <v>0.28831250000000003</v>
      </c>
      <c r="I282" t="s">
        <v>1</v>
      </c>
      <c r="J282" s="8">
        <v>6520</v>
      </c>
    </row>
    <row r="283" spans="1:10" x14ac:dyDescent="0.3">
      <c r="A283" s="1">
        <v>44682</v>
      </c>
      <c r="B283">
        <v>2022</v>
      </c>
      <c r="C283" t="str">
        <f>TEXT(Transformed_Data\[[#This Row],[Date]],"mmm")</f>
        <v>May</v>
      </c>
      <c r="D283" s="8">
        <v>8722</v>
      </c>
      <c r="E283" s="8">
        <v>34161</v>
      </c>
      <c r="F283" s="8">
        <v>48000</v>
      </c>
      <c r="G283" s="8">
        <v>13839</v>
      </c>
      <c r="H283" s="2">
        <v>0.28831250000000003</v>
      </c>
      <c r="I283" t="s">
        <v>2</v>
      </c>
      <c r="J283" s="8">
        <v>10000</v>
      </c>
    </row>
    <row r="284" spans="1:10" x14ac:dyDescent="0.3">
      <c r="A284" s="1">
        <v>44682</v>
      </c>
      <c r="B284">
        <v>2022</v>
      </c>
      <c r="C284" t="str">
        <f>TEXT(Transformed_Data\[[#This Row],[Date]],"mmm")</f>
        <v>May</v>
      </c>
      <c r="D284" s="8">
        <v>8722</v>
      </c>
      <c r="E284" s="8">
        <v>34161</v>
      </c>
      <c r="F284" s="8">
        <v>48000</v>
      </c>
      <c r="G284" s="8">
        <v>13839</v>
      </c>
      <c r="H284" s="2">
        <v>0.28831250000000003</v>
      </c>
      <c r="I284" t="s">
        <v>3</v>
      </c>
      <c r="J284" s="8">
        <v>2938</v>
      </c>
    </row>
    <row r="285" spans="1:10" x14ac:dyDescent="0.3">
      <c r="A285" s="1">
        <v>44682</v>
      </c>
      <c r="B285">
        <v>2022</v>
      </c>
      <c r="C285" t="str">
        <f>TEXT(Transformed_Data\[[#This Row],[Date]],"mmm")</f>
        <v>May</v>
      </c>
      <c r="D285" s="8">
        <v>8722</v>
      </c>
      <c r="E285" s="8">
        <v>34161</v>
      </c>
      <c r="F285" s="8">
        <v>48000</v>
      </c>
      <c r="G285" s="8">
        <v>13839</v>
      </c>
      <c r="H285" s="2">
        <v>0.28831250000000003</v>
      </c>
      <c r="I285" t="s">
        <v>4</v>
      </c>
      <c r="J285" s="8">
        <v>1177</v>
      </c>
    </row>
    <row r="286" spans="1:10" x14ac:dyDescent="0.3">
      <c r="A286" s="1">
        <v>44682</v>
      </c>
      <c r="B286">
        <v>2022</v>
      </c>
      <c r="C286" t="str">
        <f>TEXT(Transformed_Data\[[#This Row],[Date]],"mmm")</f>
        <v>May</v>
      </c>
      <c r="D286" s="8">
        <v>8722</v>
      </c>
      <c r="E286" s="8">
        <v>34161</v>
      </c>
      <c r="F286" s="8">
        <v>48000</v>
      </c>
      <c r="G286" s="8">
        <v>13839</v>
      </c>
      <c r="H286" s="2">
        <v>0.28831250000000003</v>
      </c>
      <c r="I286" t="s">
        <v>5</v>
      </c>
      <c r="J286" s="8">
        <v>1797</v>
      </c>
    </row>
    <row r="287" spans="1:10" x14ac:dyDescent="0.3">
      <c r="A287" s="1">
        <v>44682</v>
      </c>
      <c r="B287">
        <v>2022</v>
      </c>
      <c r="C287" t="str">
        <f>TEXT(Transformed_Data\[[#This Row],[Date]],"mmm")</f>
        <v>May</v>
      </c>
      <c r="D287" s="8">
        <v>8722</v>
      </c>
      <c r="E287" s="8">
        <v>34161</v>
      </c>
      <c r="F287" s="8">
        <v>48000</v>
      </c>
      <c r="G287" s="8">
        <v>13839</v>
      </c>
      <c r="H287" s="2">
        <v>0.28831250000000003</v>
      </c>
      <c r="I287" t="s">
        <v>6</v>
      </c>
      <c r="J287" s="8">
        <v>950</v>
      </c>
    </row>
    <row r="288" spans="1:10" x14ac:dyDescent="0.3">
      <c r="A288" s="1">
        <v>44682</v>
      </c>
      <c r="B288">
        <v>2022</v>
      </c>
      <c r="C288" t="str">
        <f>TEXT(Transformed_Data\[[#This Row],[Date]],"mmm")</f>
        <v>May</v>
      </c>
      <c r="D288" s="8">
        <v>8722</v>
      </c>
      <c r="E288" s="8">
        <v>34161</v>
      </c>
      <c r="F288" s="8">
        <v>48000</v>
      </c>
      <c r="G288" s="8">
        <v>13839</v>
      </c>
      <c r="H288" s="2">
        <v>0.28831250000000003</v>
      </c>
      <c r="I288" t="s">
        <v>7</v>
      </c>
      <c r="J288" s="8">
        <v>6383</v>
      </c>
    </row>
    <row r="289" spans="1:10" x14ac:dyDescent="0.3">
      <c r="A289" s="1">
        <v>44682</v>
      </c>
      <c r="B289">
        <v>2022</v>
      </c>
      <c r="C289" t="str">
        <f>TEXT(Transformed_Data\[[#This Row],[Date]],"mmm")</f>
        <v>May</v>
      </c>
      <c r="D289" s="8">
        <v>8722</v>
      </c>
      <c r="E289" s="8">
        <v>34161</v>
      </c>
      <c r="F289" s="8">
        <v>48000</v>
      </c>
      <c r="G289" s="8">
        <v>13839</v>
      </c>
      <c r="H289" s="2">
        <v>0.28831250000000003</v>
      </c>
      <c r="I289" t="s">
        <v>9</v>
      </c>
      <c r="J289" s="8">
        <v>0</v>
      </c>
    </row>
    <row r="290" spans="1:10" x14ac:dyDescent="0.3">
      <c r="A290" s="1">
        <v>44682</v>
      </c>
      <c r="B290">
        <v>2022</v>
      </c>
      <c r="C290" t="str">
        <f>TEXT(Transformed_Data\[[#This Row],[Date]],"mmm")</f>
        <v>May</v>
      </c>
      <c r="D290" s="8">
        <v>8722</v>
      </c>
      <c r="E290" s="8">
        <v>34161</v>
      </c>
      <c r="F290" s="8">
        <v>48000</v>
      </c>
      <c r="G290" s="8">
        <v>13839</v>
      </c>
      <c r="H290" s="2">
        <v>0.28831250000000003</v>
      </c>
      <c r="I290" t="s">
        <v>10</v>
      </c>
      <c r="J290" s="8">
        <v>3134</v>
      </c>
    </row>
    <row r="291" spans="1:10" x14ac:dyDescent="0.3">
      <c r="A291" s="1">
        <v>44682</v>
      </c>
      <c r="B291">
        <v>2022</v>
      </c>
      <c r="C291" t="str">
        <f>TEXT(Transformed_Data\[[#This Row],[Date]],"mmm")</f>
        <v>May</v>
      </c>
      <c r="D291" s="8">
        <v>8722</v>
      </c>
      <c r="E291" s="8">
        <v>34161</v>
      </c>
      <c r="F291" s="8">
        <v>48000</v>
      </c>
      <c r="G291" s="8">
        <v>13839</v>
      </c>
      <c r="H291" s="2">
        <v>0.28831250000000003</v>
      </c>
      <c r="I291" t="s">
        <v>11</v>
      </c>
      <c r="J291" s="8">
        <v>1262</v>
      </c>
    </row>
    <row r="292" spans="1:10" x14ac:dyDescent="0.3">
      <c r="A292" s="1">
        <v>44713</v>
      </c>
      <c r="B292">
        <v>2022</v>
      </c>
      <c r="C292" t="str">
        <f>TEXT(Transformed_Data\[[#This Row],[Date]],"mmm")</f>
        <v>Jun</v>
      </c>
      <c r="D292" s="8">
        <v>9036</v>
      </c>
      <c r="E292" s="8">
        <v>33699</v>
      </c>
      <c r="F292" s="8">
        <v>48000</v>
      </c>
      <c r="G292" s="8">
        <v>14301</v>
      </c>
      <c r="H292" s="2">
        <v>0.29793750000000002</v>
      </c>
      <c r="I292" t="s">
        <v>1</v>
      </c>
      <c r="J292" s="8">
        <v>5016</v>
      </c>
    </row>
    <row r="293" spans="1:10" x14ac:dyDescent="0.3">
      <c r="A293" s="1">
        <v>44713</v>
      </c>
      <c r="B293">
        <v>2022</v>
      </c>
      <c r="C293" t="str">
        <f>TEXT(Transformed_Data\[[#This Row],[Date]],"mmm")</f>
        <v>Jun</v>
      </c>
      <c r="D293" s="8">
        <v>9036</v>
      </c>
      <c r="E293" s="8">
        <v>33699</v>
      </c>
      <c r="F293" s="8">
        <v>48000</v>
      </c>
      <c r="G293" s="8">
        <v>14301</v>
      </c>
      <c r="H293" s="2">
        <v>0.29793750000000002</v>
      </c>
      <c r="I293" t="s">
        <v>2</v>
      </c>
      <c r="J293" s="8">
        <v>10000</v>
      </c>
    </row>
    <row r="294" spans="1:10" x14ac:dyDescent="0.3">
      <c r="A294" s="1">
        <v>44713</v>
      </c>
      <c r="B294">
        <v>2022</v>
      </c>
      <c r="C294" t="str">
        <f>TEXT(Transformed_Data\[[#This Row],[Date]],"mmm")</f>
        <v>Jun</v>
      </c>
      <c r="D294" s="8">
        <v>9036</v>
      </c>
      <c r="E294" s="8">
        <v>33699</v>
      </c>
      <c r="F294" s="8">
        <v>48000</v>
      </c>
      <c r="G294" s="8">
        <v>14301</v>
      </c>
      <c r="H294" s="2">
        <v>0.29793750000000002</v>
      </c>
      <c r="I294" t="s">
        <v>3</v>
      </c>
      <c r="J294" s="8">
        <v>1501</v>
      </c>
    </row>
    <row r="295" spans="1:10" x14ac:dyDescent="0.3">
      <c r="A295" s="1">
        <v>44713</v>
      </c>
      <c r="B295">
        <v>2022</v>
      </c>
      <c r="C295" t="str">
        <f>TEXT(Transformed_Data\[[#This Row],[Date]],"mmm")</f>
        <v>Jun</v>
      </c>
      <c r="D295" s="8">
        <v>9036</v>
      </c>
      <c r="E295" s="8">
        <v>33699</v>
      </c>
      <c r="F295" s="8">
        <v>48000</v>
      </c>
      <c r="G295" s="8">
        <v>14301</v>
      </c>
      <c r="H295" s="2">
        <v>0.29793750000000002</v>
      </c>
      <c r="I295" t="s">
        <v>4</v>
      </c>
      <c r="J295" s="8">
        <v>1084</v>
      </c>
    </row>
    <row r="296" spans="1:10" x14ac:dyDescent="0.3">
      <c r="A296" s="1">
        <v>44713</v>
      </c>
      <c r="B296">
        <v>2022</v>
      </c>
      <c r="C296" t="str">
        <f>TEXT(Transformed_Data\[[#This Row],[Date]],"mmm")</f>
        <v>Jun</v>
      </c>
      <c r="D296" s="8">
        <v>9036</v>
      </c>
      <c r="E296" s="8">
        <v>33699</v>
      </c>
      <c r="F296" s="8">
        <v>48000</v>
      </c>
      <c r="G296" s="8">
        <v>14301</v>
      </c>
      <c r="H296" s="2">
        <v>0.29793750000000002</v>
      </c>
      <c r="I296" t="s">
        <v>5</v>
      </c>
      <c r="J296" s="8">
        <v>1803</v>
      </c>
    </row>
    <row r="297" spans="1:10" x14ac:dyDescent="0.3">
      <c r="A297" s="1">
        <v>44713</v>
      </c>
      <c r="B297">
        <v>2022</v>
      </c>
      <c r="C297" t="str">
        <f>TEXT(Transformed_Data\[[#This Row],[Date]],"mmm")</f>
        <v>Jun</v>
      </c>
      <c r="D297" s="8">
        <v>9036</v>
      </c>
      <c r="E297" s="8">
        <v>33699</v>
      </c>
      <c r="F297" s="8">
        <v>48000</v>
      </c>
      <c r="G297" s="8">
        <v>14301</v>
      </c>
      <c r="H297" s="2">
        <v>0.29793750000000002</v>
      </c>
      <c r="I297" t="s">
        <v>6</v>
      </c>
      <c r="J297" s="8">
        <v>1680</v>
      </c>
    </row>
    <row r="298" spans="1:10" x14ac:dyDescent="0.3">
      <c r="A298" s="1">
        <v>44713</v>
      </c>
      <c r="B298">
        <v>2022</v>
      </c>
      <c r="C298" t="str">
        <f>TEXT(Transformed_Data\[[#This Row],[Date]],"mmm")</f>
        <v>Jun</v>
      </c>
      <c r="D298" s="8">
        <v>9036</v>
      </c>
      <c r="E298" s="8">
        <v>33699</v>
      </c>
      <c r="F298" s="8">
        <v>48000</v>
      </c>
      <c r="G298" s="8">
        <v>14301</v>
      </c>
      <c r="H298" s="2">
        <v>0.29793750000000002</v>
      </c>
      <c r="I298" t="s">
        <v>7</v>
      </c>
      <c r="J298" s="8">
        <v>6139</v>
      </c>
    </row>
    <row r="299" spans="1:10" x14ac:dyDescent="0.3">
      <c r="A299" s="1">
        <v>44713</v>
      </c>
      <c r="B299">
        <v>2022</v>
      </c>
      <c r="C299" t="str">
        <f>TEXT(Transformed_Data\[[#This Row],[Date]],"mmm")</f>
        <v>Jun</v>
      </c>
      <c r="D299" s="8">
        <v>9036</v>
      </c>
      <c r="E299" s="8">
        <v>33699</v>
      </c>
      <c r="F299" s="8">
        <v>48000</v>
      </c>
      <c r="G299" s="8">
        <v>14301</v>
      </c>
      <c r="H299" s="2">
        <v>0.29793750000000002</v>
      </c>
      <c r="I299" t="s">
        <v>9</v>
      </c>
      <c r="J299" s="8">
        <v>0</v>
      </c>
    </row>
    <row r="300" spans="1:10" x14ac:dyDescent="0.3">
      <c r="A300" s="1">
        <v>44713</v>
      </c>
      <c r="B300">
        <v>2022</v>
      </c>
      <c r="C300" t="str">
        <f>TEXT(Transformed_Data\[[#This Row],[Date]],"mmm")</f>
        <v>Jun</v>
      </c>
      <c r="D300" s="8">
        <v>9036</v>
      </c>
      <c r="E300" s="8">
        <v>33699</v>
      </c>
      <c r="F300" s="8">
        <v>48000</v>
      </c>
      <c r="G300" s="8">
        <v>14301</v>
      </c>
      <c r="H300" s="2">
        <v>0.29793750000000002</v>
      </c>
      <c r="I300" t="s">
        <v>10</v>
      </c>
      <c r="J300" s="8">
        <v>3801</v>
      </c>
    </row>
    <row r="301" spans="1:10" x14ac:dyDescent="0.3">
      <c r="A301" s="1">
        <v>44713</v>
      </c>
      <c r="B301">
        <v>2022</v>
      </c>
      <c r="C301" t="str">
        <f>TEXT(Transformed_Data\[[#This Row],[Date]],"mmm")</f>
        <v>Jun</v>
      </c>
      <c r="D301" s="8">
        <v>9036</v>
      </c>
      <c r="E301" s="8">
        <v>33699</v>
      </c>
      <c r="F301" s="8">
        <v>48000</v>
      </c>
      <c r="G301" s="8">
        <v>14301</v>
      </c>
      <c r="H301" s="2">
        <v>0.29793750000000002</v>
      </c>
      <c r="I301" t="s">
        <v>11</v>
      </c>
      <c r="J301" s="8">
        <v>2675</v>
      </c>
    </row>
    <row r="302" spans="1:10" x14ac:dyDescent="0.3">
      <c r="A302" s="1">
        <v>44743</v>
      </c>
      <c r="B302">
        <v>2022</v>
      </c>
      <c r="C302" t="str">
        <f>TEXT(Transformed_Data\[[#This Row],[Date]],"mmm")</f>
        <v>Jul</v>
      </c>
      <c r="D302" s="8">
        <v>8543</v>
      </c>
      <c r="E302" s="8">
        <v>34856</v>
      </c>
      <c r="F302" s="8">
        <v>48000</v>
      </c>
      <c r="G302" s="8">
        <v>13144</v>
      </c>
      <c r="H302" s="2">
        <v>0.27383333333333332</v>
      </c>
      <c r="I302" t="s">
        <v>1</v>
      </c>
      <c r="J302" s="8">
        <v>6056</v>
      </c>
    </row>
    <row r="303" spans="1:10" x14ac:dyDescent="0.3">
      <c r="A303" s="1">
        <v>44743</v>
      </c>
      <c r="B303">
        <v>2022</v>
      </c>
      <c r="C303" t="str">
        <f>TEXT(Transformed_Data\[[#This Row],[Date]],"mmm")</f>
        <v>Jul</v>
      </c>
      <c r="D303" s="8">
        <v>8543</v>
      </c>
      <c r="E303" s="8">
        <v>34856</v>
      </c>
      <c r="F303" s="8">
        <v>48000</v>
      </c>
      <c r="G303" s="8">
        <v>13144</v>
      </c>
      <c r="H303" s="2">
        <v>0.27383333333333332</v>
      </c>
      <c r="I303" t="s">
        <v>2</v>
      </c>
      <c r="J303" s="8">
        <v>10000</v>
      </c>
    </row>
    <row r="304" spans="1:10" x14ac:dyDescent="0.3">
      <c r="A304" s="1">
        <v>44743</v>
      </c>
      <c r="B304">
        <v>2022</v>
      </c>
      <c r="C304" t="str">
        <f>TEXT(Transformed_Data\[[#This Row],[Date]],"mmm")</f>
        <v>Jul</v>
      </c>
      <c r="D304" s="8">
        <v>8543</v>
      </c>
      <c r="E304" s="8">
        <v>34856</v>
      </c>
      <c r="F304" s="8">
        <v>48000</v>
      </c>
      <c r="G304" s="8">
        <v>13144</v>
      </c>
      <c r="H304" s="2">
        <v>0.27383333333333332</v>
      </c>
      <c r="I304" t="s">
        <v>3</v>
      </c>
      <c r="J304" s="8">
        <v>3182</v>
      </c>
    </row>
    <row r="305" spans="1:10" x14ac:dyDescent="0.3">
      <c r="A305" s="1">
        <v>44743</v>
      </c>
      <c r="B305">
        <v>2022</v>
      </c>
      <c r="C305" t="str">
        <f>TEXT(Transformed_Data\[[#This Row],[Date]],"mmm")</f>
        <v>Jul</v>
      </c>
      <c r="D305" s="8">
        <v>8543</v>
      </c>
      <c r="E305" s="8">
        <v>34856</v>
      </c>
      <c r="F305" s="8">
        <v>48000</v>
      </c>
      <c r="G305" s="8">
        <v>13144</v>
      </c>
      <c r="H305" s="2">
        <v>0.27383333333333332</v>
      </c>
      <c r="I305" t="s">
        <v>4</v>
      </c>
      <c r="J305" s="8">
        <v>1003</v>
      </c>
    </row>
    <row r="306" spans="1:10" x14ac:dyDescent="0.3">
      <c r="A306" s="1">
        <v>44743</v>
      </c>
      <c r="B306">
        <v>2022</v>
      </c>
      <c r="C306" t="str">
        <f>TEXT(Transformed_Data\[[#This Row],[Date]],"mmm")</f>
        <v>Jul</v>
      </c>
      <c r="D306" s="8">
        <v>8543</v>
      </c>
      <c r="E306" s="8">
        <v>34856</v>
      </c>
      <c r="F306" s="8">
        <v>48000</v>
      </c>
      <c r="G306" s="8">
        <v>13144</v>
      </c>
      <c r="H306" s="2">
        <v>0.27383333333333332</v>
      </c>
      <c r="I306" t="s">
        <v>5</v>
      </c>
      <c r="J306" s="8">
        <v>1707</v>
      </c>
    </row>
    <row r="307" spans="1:10" x14ac:dyDescent="0.3">
      <c r="A307" s="1">
        <v>44743</v>
      </c>
      <c r="B307">
        <v>2022</v>
      </c>
      <c r="C307" t="str">
        <f>TEXT(Transformed_Data\[[#This Row],[Date]],"mmm")</f>
        <v>Jul</v>
      </c>
      <c r="D307" s="8">
        <v>8543</v>
      </c>
      <c r="E307" s="8">
        <v>34856</v>
      </c>
      <c r="F307" s="8">
        <v>48000</v>
      </c>
      <c r="G307" s="8">
        <v>13144</v>
      </c>
      <c r="H307" s="2">
        <v>0.27383333333333332</v>
      </c>
      <c r="I307" t="s">
        <v>6</v>
      </c>
      <c r="J307" s="8">
        <v>1922</v>
      </c>
    </row>
    <row r="308" spans="1:10" x14ac:dyDescent="0.3">
      <c r="A308" s="1">
        <v>44743</v>
      </c>
      <c r="B308">
        <v>2022</v>
      </c>
      <c r="C308" t="str">
        <f>TEXT(Transformed_Data\[[#This Row],[Date]],"mmm")</f>
        <v>Jul</v>
      </c>
      <c r="D308" s="8">
        <v>8543</v>
      </c>
      <c r="E308" s="8">
        <v>34856</v>
      </c>
      <c r="F308" s="8">
        <v>48000</v>
      </c>
      <c r="G308" s="8">
        <v>13144</v>
      </c>
      <c r="H308" s="2">
        <v>0.27383333333333332</v>
      </c>
      <c r="I308" t="s">
        <v>7</v>
      </c>
      <c r="J308" s="8">
        <v>6929</v>
      </c>
    </row>
    <row r="309" spans="1:10" x14ac:dyDescent="0.3">
      <c r="A309" s="1">
        <v>44743</v>
      </c>
      <c r="B309">
        <v>2022</v>
      </c>
      <c r="C309" t="str">
        <f>TEXT(Transformed_Data\[[#This Row],[Date]],"mmm")</f>
        <v>Jul</v>
      </c>
      <c r="D309" s="8">
        <v>8543</v>
      </c>
      <c r="E309" s="8">
        <v>34856</v>
      </c>
      <c r="F309" s="8">
        <v>48000</v>
      </c>
      <c r="G309" s="8">
        <v>13144</v>
      </c>
      <c r="H309" s="2">
        <v>0.27383333333333332</v>
      </c>
      <c r="I309" t="s">
        <v>9</v>
      </c>
      <c r="J309" s="8">
        <v>0</v>
      </c>
    </row>
    <row r="310" spans="1:10" x14ac:dyDescent="0.3">
      <c r="A310" s="1">
        <v>44743</v>
      </c>
      <c r="B310">
        <v>2022</v>
      </c>
      <c r="C310" t="str">
        <f>TEXT(Transformed_Data\[[#This Row],[Date]],"mmm")</f>
        <v>Jul</v>
      </c>
      <c r="D310" s="8">
        <v>8543</v>
      </c>
      <c r="E310" s="8">
        <v>34856</v>
      </c>
      <c r="F310" s="8">
        <v>48000</v>
      </c>
      <c r="G310" s="8">
        <v>13144</v>
      </c>
      <c r="H310" s="2">
        <v>0.27383333333333332</v>
      </c>
      <c r="I310" t="s">
        <v>10</v>
      </c>
      <c r="J310" s="8">
        <v>2654</v>
      </c>
    </row>
    <row r="311" spans="1:10" x14ac:dyDescent="0.3">
      <c r="A311" s="1">
        <v>44743</v>
      </c>
      <c r="B311">
        <v>2022</v>
      </c>
      <c r="C311" t="str">
        <f>TEXT(Transformed_Data\[[#This Row],[Date]],"mmm")</f>
        <v>Jul</v>
      </c>
      <c r="D311" s="8">
        <v>8543</v>
      </c>
      <c r="E311" s="8">
        <v>34856</v>
      </c>
      <c r="F311" s="8">
        <v>48000</v>
      </c>
      <c r="G311" s="8">
        <v>13144</v>
      </c>
      <c r="H311" s="2">
        <v>0.27383333333333332</v>
      </c>
      <c r="I311" t="s">
        <v>11</v>
      </c>
      <c r="J311" s="8">
        <v>1403</v>
      </c>
    </row>
    <row r="312" spans="1:10" x14ac:dyDescent="0.3">
      <c r="A312" s="1">
        <v>44774</v>
      </c>
      <c r="B312">
        <v>2022</v>
      </c>
      <c r="C312" t="str">
        <f>TEXT(Transformed_Data\[[#This Row],[Date]],"mmm")</f>
        <v>Aug</v>
      </c>
      <c r="D312" s="8">
        <v>4844</v>
      </c>
      <c r="E312" s="8">
        <v>32538</v>
      </c>
      <c r="F312" s="8">
        <v>48000</v>
      </c>
      <c r="G312" s="8">
        <v>15462</v>
      </c>
      <c r="H312" s="2">
        <v>0.32212499999999999</v>
      </c>
      <c r="I312" t="s">
        <v>1</v>
      </c>
      <c r="J312" s="8">
        <v>4627</v>
      </c>
    </row>
    <row r="313" spans="1:10" x14ac:dyDescent="0.3">
      <c r="A313" s="1">
        <v>44774</v>
      </c>
      <c r="B313">
        <v>2022</v>
      </c>
      <c r="C313" t="str">
        <f>TEXT(Transformed_Data\[[#This Row],[Date]],"mmm")</f>
        <v>Aug</v>
      </c>
      <c r="D313" s="8">
        <v>4844</v>
      </c>
      <c r="E313" s="8">
        <v>32538</v>
      </c>
      <c r="F313" s="8">
        <v>48000</v>
      </c>
      <c r="G313" s="8">
        <v>15462</v>
      </c>
      <c r="H313" s="2">
        <v>0.32212499999999999</v>
      </c>
      <c r="I313" t="s">
        <v>2</v>
      </c>
      <c r="J313" s="8">
        <v>10000</v>
      </c>
    </row>
    <row r="314" spans="1:10" x14ac:dyDescent="0.3">
      <c r="A314" s="1">
        <v>44774</v>
      </c>
      <c r="B314">
        <v>2022</v>
      </c>
      <c r="C314" t="str">
        <f>TEXT(Transformed_Data\[[#This Row],[Date]],"mmm")</f>
        <v>Aug</v>
      </c>
      <c r="D314" s="8">
        <v>4844</v>
      </c>
      <c r="E314" s="8">
        <v>32538</v>
      </c>
      <c r="F314" s="8">
        <v>48000</v>
      </c>
      <c r="G314" s="8">
        <v>15462</v>
      </c>
      <c r="H314" s="2">
        <v>0.32212499999999999</v>
      </c>
      <c r="I314" t="s">
        <v>3</v>
      </c>
      <c r="J314" s="8">
        <v>3148</v>
      </c>
    </row>
    <row r="315" spans="1:10" x14ac:dyDescent="0.3">
      <c r="A315" s="1">
        <v>44774</v>
      </c>
      <c r="B315">
        <v>2022</v>
      </c>
      <c r="C315" t="str">
        <f>TEXT(Transformed_Data\[[#This Row],[Date]],"mmm")</f>
        <v>Aug</v>
      </c>
      <c r="D315" s="8">
        <v>4844</v>
      </c>
      <c r="E315" s="8">
        <v>32538</v>
      </c>
      <c r="F315" s="8">
        <v>48000</v>
      </c>
      <c r="G315" s="8">
        <v>15462</v>
      </c>
      <c r="H315" s="2">
        <v>0.32212499999999999</v>
      </c>
      <c r="I315" t="s">
        <v>4</v>
      </c>
      <c r="J315" s="8">
        <v>1155</v>
      </c>
    </row>
    <row r="316" spans="1:10" x14ac:dyDescent="0.3">
      <c r="A316" s="1">
        <v>44774</v>
      </c>
      <c r="B316">
        <v>2022</v>
      </c>
      <c r="C316" t="str">
        <f>TEXT(Transformed_Data\[[#This Row],[Date]],"mmm")</f>
        <v>Aug</v>
      </c>
      <c r="D316" s="8">
        <v>4844</v>
      </c>
      <c r="E316" s="8">
        <v>32538</v>
      </c>
      <c r="F316" s="8">
        <v>48000</v>
      </c>
      <c r="G316" s="8">
        <v>15462</v>
      </c>
      <c r="H316" s="2">
        <v>0.32212499999999999</v>
      </c>
      <c r="I316" t="s">
        <v>5</v>
      </c>
      <c r="J316" s="8">
        <v>1919</v>
      </c>
    </row>
    <row r="317" spans="1:10" x14ac:dyDescent="0.3">
      <c r="A317" s="1">
        <v>44774</v>
      </c>
      <c r="B317">
        <v>2022</v>
      </c>
      <c r="C317" t="str">
        <f>TEXT(Transformed_Data\[[#This Row],[Date]],"mmm")</f>
        <v>Aug</v>
      </c>
      <c r="D317" s="8">
        <v>4844</v>
      </c>
      <c r="E317" s="8">
        <v>32538</v>
      </c>
      <c r="F317" s="8">
        <v>48000</v>
      </c>
      <c r="G317" s="8">
        <v>15462</v>
      </c>
      <c r="H317" s="2">
        <v>0.32212499999999999</v>
      </c>
      <c r="I317" t="s">
        <v>6</v>
      </c>
      <c r="J317" s="8">
        <v>1386</v>
      </c>
    </row>
    <row r="318" spans="1:10" x14ac:dyDescent="0.3">
      <c r="A318" s="1">
        <v>44774</v>
      </c>
      <c r="B318">
        <v>2022</v>
      </c>
      <c r="C318" t="str">
        <f>TEXT(Transformed_Data\[[#This Row],[Date]],"mmm")</f>
        <v>Aug</v>
      </c>
      <c r="D318" s="8">
        <v>4844</v>
      </c>
      <c r="E318" s="8">
        <v>32538</v>
      </c>
      <c r="F318" s="8">
        <v>48000</v>
      </c>
      <c r="G318" s="8">
        <v>15462</v>
      </c>
      <c r="H318" s="2">
        <v>0.32212499999999999</v>
      </c>
      <c r="I318" t="s">
        <v>7</v>
      </c>
      <c r="J318" s="8">
        <v>6255</v>
      </c>
    </row>
    <row r="319" spans="1:10" x14ac:dyDescent="0.3">
      <c r="A319" s="1">
        <v>44774</v>
      </c>
      <c r="B319">
        <v>2022</v>
      </c>
      <c r="C319" t="str">
        <f>TEXT(Transformed_Data\[[#This Row],[Date]],"mmm")</f>
        <v>Aug</v>
      </c>
      <c r="D319" s="8">
        <v>4844</v>
      </c>
      <c r="E319" s="8">
        <v>32538</v>
      </c>
      <c r="F319" s="8">
        <v>48000</v>
      </c>
      <c r="G319" s="8">
        <v>15462</v>
      </c>
      <c r="H319" s="2">
        <v>0.32212499999999999</v>
      </c>
      <c r="I319" t="s">
        <v>9</v>
      </c>
      <c r="J319" s="8">
        <v>0</v>
      </c>
    </row>
    <row r="320" spans="1:10" x14ac:dyDescent="0.3">
      <c r="A320" s="1">
        <v>44774</v>
      </c>
      <c r="B320">
        <v>2022</v>
      </c>
      <c r="C320" t="str">
        <f>TEXT(Transformed_Data\[[#This Row],[Date]],"mmm")</f>
        <v>Aug</v>
      </c>
      <c r="D320" s="8">
        <v>4844</v>
      </c>
      <c r="E320" s="8">
        <v>32538</v>
      </c>
      <c r="F320" s="8">
        <v>48000</v>
      </c>
      <c r="G320" s="8">
        <v>15462</v>
      </c>
      <c r="H320" s="2">
        <v>0.32212499999999999</v>
      </c>
      <c r="I320" t="s">
        <v>10</v>
      </c>
      <c r="J320" s="8">
        <v>2945</v>
      </c>
    </row>
    <row r="321" spans="1:10" x14ac:dyDescent="0.3">
      <c r="A321" s="1">
        <v>44774</v>
      </c>
      <c r="B321">
        <v>2022</v>
      </c>
      <c r="C321" t="str">
        <f>TEXT(Transformed_Data\[[#This Row],[Date]],"mmm")</f>
        <v>Aug</v>
      </c>
      <c r="D321" s="8">
        <v>4844</v>
      </c>
      <c r="E321" s="8">
        <v>32538</v>
      </c>
      <c r="F321" s="8">
        <v>48000</v>
      </c>
      <c r="G321" s="8">
        <v>15462</v>
      </c>
      <c r="H321" s="2">
        <v>0.32212499999999999</v>
      </c>
      <c r="I321" t="s">
        <v>11</v>
      </c>
      <c r="J321" s="8">
        <v>1103</v>
      </c>
    </row>
    <row r="322" spans="1:10" x14ac:dyDescent="0.3">
      <c r="A322" s="1">
        <v>44805</v>
      </c>
      <c r="B322">
        <v>2022</v>
      </c>
      <c r="C322" t="str">
        <f>TEXT(Transformed_Data\[[#This Row],[Date]],"mmm")</f>
        <v>Sep</v>
      </c>
      <c r="D322" s="8">
        <v>8121</v>
      </c>
      <c r="E322" s="8">
        <v>33980</v>
      </c>
      <c r="F322" s="8">
        <v>48000</v>
      </c>
      <c r="G322" s="8">
        <v>14020</v>
      </c>
      <c r="H322" s="2">
        <v>0.29208333333333331</v>
      </c>
      <c r="I322" t="s">
        <v>1</v>
      </c>
      <c r="J322" s="8">
        <v>6557</v>
      </c>
    </row>
    <row r="323" spans="1:10" x14ac:dyDescent="0.3">
      <c r="A323" s="1">
        <v>44805</v>
      </c>
      <c r="B323">
        <v>2022</v>
      </c>
      <c r="C323" t="str">
        <f>TEXT(Transformed_Data\[[#This Row],[Date]],"mmm")</f>
        <v>Sep</v>
      </c>
      <c r="D323" s="8">
        <v>8121</v>
      </c>
      <c r="E323" s="8">
        <v>33980</v>
      </c>
      <c r="F323" s="8">
        <v>48000</v>
      </c>
      <c r="G323" s="8">
        <v>14020</v>
      </c>
      <c r="H323" s="2">
        <v>0.29208333333333331</v>
      </c>
      <c r="I323" t="s">
        <v>2</v>
      </c>
      <c r="J323" s="8">
        <v>10000</v>
      </c>
    </row>
    <row r="324" spans="1:10" x14ac:dyDescent="0.3">
      <c r="A324" s="1">
        <v>44805</v>
      </c>
      <c r="B324">
        <v>2022</v>
      </c>
      <c r="C324" t="str">
        <f>TEXT(Transformed_Data\[[#This Row],[Date]],"mmm")</f>
        <v>Sep</v>
      </c>
      <c r="D324" s="8">
        <v>8121</v>
      </c>
      <c r="E324" s="8">
        <v>33980</v>
      </c>
      <c r="F324" s="8">
        <v>48000</v>
      </c>
      <c r="G324" s="8">
        <v>14020</v>
      </c>
      <c r="H324" s="2">
        <v>0.29208333333333331</v>
      </c>
      <c r="I324" t="s">
        <v>3</v>
      </c>
      <c r="J324" s="8">
        <v>1652</v>
      </c>
    </row>
    <row r="325" spans="1:10" x14ac:dyDescent="0.3">
      <c r="A325" s="1">
        <v>44805</v>
      </c>
      <c r="B325">
        <v>2022</v>
      </c>
      <c r="C325" t="str">
        <f>TEXT(Transformed_Data\[[#This Row],[Date]],"mmm")</f>
        <v>Sep</v>
      </c>
      <c r="D325" s="8">
        <v>8121</v>
      </c>
      <c r="E325" s="8">
        <v>33980</v>
      </c>
      <c r="F325" s="8">
        <v>48000</v>
      </c>
      <c r="G325" s="8">
        <v>14020</v>
      </c>
      <c r="H325" s="2">
        <v>0.29208333333333331</v>
      </c>
      <c r="I325" t="s">
        <v>4</v>
      </c>
      <c r="J325" s="8">
        <v>1048</v>
      </c>
    </row>
    <row r="326" spans="1:10" x14ac:dyDescent="0.3">
      <c r="A326" s="1">
        <v>44805</v>
      </c>
      <c r="B326">
        <v>2022</v>
      </c>
      <c r="C326" t="str">
        <f>TEXT(Transformed_Data\[[#This Row],[Date]],"mmm")</f>
        <v>Sep</v>
      </c>
      <c r="D326" s="8">
        <v>8121</v>
      </c>
      <c r="E326" s="8">
        <v>33980</v>
      </c>
      <c r="F326" s="8">
        <v>48000</v>
      </c>
      <c r="G326" s="8">
        <v>14020</v>
      </c>
      <c r="H326" s="2">
        <v>0.29208333333333331</v>
      </c>
      <c r="I326" t="s">
        <v>5</v>
      </c>
      <c r="J326" s="8">
        <v>2413</v>
      </c>
    </row>
    <row r="327" spans="1:10" x14ac:dyDescent="0.3">
      <c r="A327" s="1">
        <v>44805</v>
      </c>
      <c r="B327">
        <v>2022</v>
      </c>
      <c r="C327" t="str">
        <f>TEXT(Transformed_Data\[[#This Row],[Date]],"mmm")</f>
        <v>Sep</v>
      </c>
      <c r="D327" s="8">
        <v>8121</v>
      </c>
      <c r="E327" s="8">
        <v>33980</v>
      </c>
      <c r="F327" s="8">
        <v>48000</v>
      </c>
      <c r="G327" s="8">
        <v>14020</v>
      </c>
      <c r="H327" s="2">
        <v>0.29208333333333331</v>
      </c>
      <c r="I327" t="s">
        <v>6</v>
      </c>
      <c r="J327" s="8">
        <v>898</v>
      </c>
    </row>
    <row r="328" spans="1:10" x14ac:dyDescent="0.3">
      <c r="A328" s="1">
        <v>44805</v>
      </c>
      <c r="B328">
        <v>2022</v>
      </c>
      <c r="C328" t="str">
        <f>TEXT(Transformed_Data\[[#This Row],[Date]],"mmm")</f>
        <v>Sep</v>
      </c>
      <c r="D328" s="8">
        <v>8121</v>
      </c>
      <c r="E328" s="8">
        <v>33980</v>
      </c>
      <c r="F328" s="8">
        <v>48000</v>
      </c>
      <c r="G328" s="8">
        <v>14020</v>
      </c>
      <c r="H328" s="2">
        <v>0.29208333333333331</v>
      </c>
      <c r="I328" t="s">
        <v>7</v>
      </c>
      <c r="J328" s="8">
        <v>6116</v>
      </c>
    </row>
    <row r="329" spans="1:10" x14ac:dyDescent="0.3">
      <c r="A329" s="1">
        <v>44805</v>
      </c>
      <c r="B329">
        <v>2022</v>
      </c>
      <c r="C329" t="str">
        <f>TEXT(Transformed_Data\[[#This Row],[Date]],"mmm")</f>
        <v>Sep</v>
      </c>
      <c r="D329" s="8">
        <v>8121</v>
      </c>
      <c r="E329" s="8">
        <v>33980</v>
      </c>
      <c r="F329" s="8">
        <v>48000</v>
      </c>
      <c r="G329" s="8">
        <v>14020</v>
      </c>
      <c r="H329" s="2">
        <v>0.29208333333333331</v>
      </c>
      <c r="I329" t="s">
        <v>9</v>
      </c>
      <c r="J329" s="8">
        <v>0</v>
      </c>
    </row>
    <row r="330" spans="1:10" x14ac:dyDescent="0.3">
      <c r="A330" s="1">
        <v>44805</v>
      </c>
      <c r="B330">
        <v>2022</v>
      </c>
      <c r="C330" t="str">
        <f>TEXT(Transformed_Data\[[#This Row],[Date]],"mmm")</f>
        <v>Sep</v>
      </c>
      <c r="D330" s="8">
        <v>8121</v>
      </c>
      <c r="E330" s="8">
        <v>33980</v>
      </c>
      <c r="F330" s="8">
        <v>48000</v>
      </c>
      <c r="G330" s="8">
        <v>14020</v>
      </c>
      <c r="H330" s="2">
        <v>0.29208333333333331</v>
      </c>
      <c r="I330" t="s">
        <v>10</v>
      </c>
      <c r="J330" s="8">
        <v>3419</v>
      </c>
    </row>
    <row r="331" spans="1:10" x14ac:dyDescent="0.3">
      <c r="A331" s="1">
        <v>44805</v>
      </c>
      <c r="B331">
        <v>2022</v>
      </c>
      <c r="C331" t="str">
        <f>TEXT(Transformed_Data\[[#This Row],[Date]],"mmm")</f>
        <v>Sep</v>
      </c>
      <c r="D331" s="8">
        <v>8121</v>
      </c>
      <c r="E331" s="8">
        <v>33980</v>
      </c>
      <c r="F331" s="8">
        <v>48000</v>
      </c>
      <c r="G331" s="8">
        <v>14020</v>
      </c>
      <c r="H331" s="2">
        <v>0.29208333333333331</v>
      </c>
      <c r="I331" t="s">
        <v>11</v>
      </c>
      <c r="J331" s="8">
        <v>1877</v>
      </c>
    </row>
    <row r="332" spans="1:10" x14ac:dyDescent="0.3">
      <c r="A332" s="1">
        <v>44835</v>
      </c>
      <c r="B332">
        <v>2022</v>
      </c>
      <c r="C332" t="str">
        <f>TEXT(Transformed_Data\[[#This Row],[Date]],"mmm")</f>
        <v>Oct</v>
      </c>
      <c r="D332" s="8">
        <v>7918</v>
      </c>
      <c r="E332" s="8">
        <v>33110</v>
      </c>
      <c r="F332" s="8">
        <v>48000</v>
      </c>
      <c r="G332" s="8">
        <v>14890</v>
      </c>
      <c r="H332" s="2">
        <v>0.31020833333333331</v>
      </c>
      <c r="I332" t="s">
        <v>1</v>
      </c>
      <c r="J332" s="8">
        <v>4956</v>
      </c>
    </row>
    <row r="333" spans="1:10" x14ac:dyDescent="0.3">
      <c r="A333" s="1">
        <v>44835</v>
      </c>
      <c r="B333">
        <v>2022</v>
      </c>
      <c r="C333" t="str">
        <f>TEXT(Transformed_Data\[[#This Row],[Date]],"mmm")</f>
        <v>Oct</v>
      </c>
      <c r="D333" s="8">
        <v>7918</v>
      </c>
      <c r="E333" s="8">
        <v>33110</v>
      </c>
      <c r="F333" s="8">
        <v>48000</v>
      </c>
      <c r="G333" s="8">
        <v>14890</v>
      </c>
      <c r="H333" s="2">
        <v>0.31020833333333331</v>
      </c>
      <c r="I333" t="s">
        <v>2</v>
      </c>
      <c r="J333" s="8">
        <v>10000</v>
      </c>
    </row>
    <row r="334" spans="1:10" x14ac:dyDescent="0.3">
      <c r="A334" s="1">
        <v>44835</v>
      </c>
      <c r="B334">
        <v>2022</v>
      </c>
      <c r="C334" t="str">
        <f>TEXT(Transformed_Data\[[#This Row],[Date]],"mmm")</f>
        <v>Oct</v>
      </c>
      <c r="D334" s="8">
        <v>7918</v>
      </c>
      <c r="E334" s="8">
        <v>33110</v>
      </c>
      <c r="F334" s="8">
        <v>48000</v>
      </c>
      <c r="G334" s="8">
        <v>14890</v>
      </c>
      <c r="H334" s="2">
        <v>0.31020833333333331</v>
      </c>
      <c r="I334" t="s">
        <v>3</v>
      </c>
      <c r="J334" s="8">
        <v>3103</v>
      </c>
    </row>
    <row r="335" spans="1:10" x14ac:dyDescent="0.3">
      <c r="A335" s="1">
        <v>44835</v>
      </c>
      <c r="B335">
        <v>2022</v>
      </c>
      <c r="C335" t="str">
        <f>TEXT(Transformed_Data\[[#This Row],[Date]],"mmm")</f>
        <v>Oct</v>
      </c>
      <c r="D335" s="8">
        <v>7918</v>
      </c>
      <c r="E335" s="8">
        <v>33110</v>
      </c>
      <c r="F335" s="8">
        <v>48000</v>
      </c>
      <c r="G335" s="8">
        <v>14890</v>
      </c>
      <c r="H335" s="2">
        <v>0.31020833333333331</v>
      </c>
      <c r="I335" t="s">
        <v>4</v>
      </c>
      <c r="J335" s="8">
        <v>988</v>
      </c>
    </row>
    <row r="336" spans="1:10" x14ac:dyDescent="0.3">
      <c r="A336" s="1">
        <v>44835</v>
      </c>
      <c r="B336">
        <v>2022</v>
      </c>
      <c r="C336" t="str">
        <f>TEXT(Transformed_Data\[[#This Row],[Date]],"mmm")</f>
        <v>Oct</v>
      </c>
      <c r="D336" s="8">
        <v>7918</v>
      </c>
      <c r="E336" s="8">
        <v>33110</v>
      </c>
      <c r="F336" s="8">
        <v>48000</v>
      </c>
      <c r="G336" s="8">
        <v>14890</v>
      </c>
      <c r="H336" s="2">
        <v>0.31020833333333331</v>
      </c>
      <c r="I336" t="s">
        <v>5</v>
      </c>
      <c r="J336" s="8">
        <v>1897</v>
      </c>
    </row>
    <row r="337" spans="1:10" x14ac:dyDescent="0.3">
      <c r="A337" s="1">
        <v>44835</v>
      </c>
      <c r="B337">
        <v>2022</v>
      </c>
      <c r="C337" t="str">
        <f>TEXT(Transformed_Data\[[#This Row],[Date]],"mmm")</f>
        <v>Oct</v>
      </c>
      <c r="D337" s="8">
        <v>7918</v>
      </c>
      <c r="E337" s="8">
        <v>33110</v>
      </c>
      <c r="F337" s="8">
        <v>48000</v>
      </c>
      <c r="G337" s="8">
        <v>14890</v>
      </c>
      <c r="H337" s="2">
        <v>0.31020833333333331</v>
      </c>
      <c r="I337" t="s">
        <v>6</v>
      </c>
      <c r="J337" s="8">
        <v>960</v>
      </c>
    </row>
    <row r="338" spans="1:10" x14ac:dyDescent="0.3">
      <c r="A338" s="1">
        <v>44835</v>
      </c>
      <c r="B338">
        <v>2022</v>
      </c>
      <c r="C338" t="str">
        <f>TEXT(Transformed_Data\[[#This Row],[Date]],"mmm")</f>
        <v>Oct</v>
      </c>
      <c r="D338" s="8">
        <v>7918</v>
      </c>
      <c r="E338" s="8">
        <v>33110</v>
      </c>
      <c r="F338" s="8">
        <v>48000</v>
      </c>
      <c r="G338" s="8">
        <v>14890</v>
      </c>
      <c r="H338" s="2">
        <v>0.31020833333333331</v>
      </c>
      <c r="I338" t="s">
        <v>7</v>
      </c>
      <c r="J338" s="8">
        <v>6591</v>
      </c>
    </row>
    <row r="339" spans="1:10" x14ac:dyDescent="0.3">
      <c r="A339" s="1">
        <v>44835</v>
      </c>
      <c r="B339">
        <v>2022</v>
      </c>
      <c r="C339" t="str">
        <f>TEXT(Transformed_Data\[[#This Row],[Date]],"mmm")</f>
        <v>Oct</v>
      </c>
      <c r="D339" s="8">
        <v>7918</v>
      </c>
      <c r="E339" s="8">
        <v>33110</v>
      </c>
      <c r="F339" s="8">
        <v>48000</v>
      </c>
      <c r="G339" s="8">
        <v>14890</v>
      </c>
      <c r="H339" s="2">
        <v>0.31020833333333331</v>
      </c>
      <c r="I339" t="s">
        <v>9</v>
      </c>
      <c r="J339" s="8">
        <v>0</v>
      </c>
    </row>
    <row r="340" spans="1:10" x14ac:dyDescent="0.3">
      <c r="A340" s="1">
        <v>44835</v>
      </c>
      <c r="B340">
        <v>2022</v>
      </c>
      <c r="C340" t="str">
        <f>TEXT(Transformed_Data\[[#This Row],[Date]],"mmm")</f>
        <v>Oct</v>
      </c>
      <c r="D340" s="8">
        <v>7918</v>
      </c>
      <c r="E340" s="8">
        <v>33110</v>
      </c>
      <c r="F340" s="8">
        <v>48000</v>
      </c>
      <c r="G340" s="8">
        <v>14890</v>
      </c>
      <c r="H340" s="2">
        <v>0.31020833333333331</v>
      </c>
      <c r="I340" t="s">
        <v>10</v>
      </c>
      <c r="J340" s="8">
        <v>2800</v>
      </c>
    </row>
    <row r="341" spans="1:10" x14ac:dyDescent="0.3">
      <c r="A341" s="1">
        <v>44835</v>
      </c>
      <c r="B341">
        <v>2022</v>
      </c>
      <c r="C341" t="str">
        <f>TEXT(Transformed_Data\[[#This Row],[Date]],"mmm")</f>
        <v>Oct</v>
      </c>
      <c r="D341" s="8">
        <v>7918</v>
      </c>
      <c r="E341" s="8">
        <v>33110</v>
      </c>
      <c r="F341" s="8">
        <v>48000</v>
      </c>
      <c r="G341" s="8">
        <v>14890</v>
      </c>
      <c r="H341" s="2">
        <v>0.31020833333333331</v>
      </c>
      <c r="I341" t="s">
        <v>11</v>
      </c>
      <c r="J341" s="8">
        <v>1815</v>
      </c>
    </row>
    <row r="342" spans="1:10" x14ac:dyDescent="0.3">
      <c r="A342" s="1">
        <v>44866</v>
      </c>
      <c r="B342">
        <v>2022</v>
      </c>
      <c r="C342" t="str">
        <f>TEXT(Transformed_Data\[[#This Row],[Date]],"mmm")</f>
        <v>Nov</v>
      </c>
      <c r="D342" s="8">
        <v>6072</v>
      </c>
      <c r="E342" s="8">
        <v>31011</v>
      </c>
      <c r="F342" s="8">
        <v>48000</v>
      </c>
      <c r="G342" s="8">
        <v>16989</v>
      </c>
      <c r="H342" s="2">
        <v>0.35393750000000002</v>
      </c>
      <c r="I342" t="s">
        <v>1</v>
      </c>
      <c r="J342" s="8">
        <v>5158</v>
      </c>
    </row>
    <row r="343" spans="1:10" x14ac:dyDescent="0.3">
      <c r="A343" s="1">
        <v>44866</v>
      </c>
      <c r="B343">
        <v>2022</v>
      </c>
      <c r="C343" t="str">
        <f>TEXT(Transformed_Data\[[#This Row],[Date]],"mmm")</f>
        <v>Nov</v>
      </c>
      <c r="D343" s="8">
        <v>6072</v>
      </c>
      <c r="E343" s="8">
        <v>31011</v>
      </c>
      <c r="F343" s="8">
        <v>48000</v>
      </c>
      <c r="G343" s="8">
        <v>16989</v>
      </c>
      <c r="H343" s="2">
        <v>0.35393750000000002</v>
      </c>
      <c r="I343" t="s">
        <v>2</v>
      </c>
      <c r="J343" s="8">
        <v>10000</v>
      </c>
    </row>
    <row r="344" spans="1:10" x14ac:dyDescent="0.3">
      <c r="A344" s="1">
        <v>44866</v>
      </c>
      <c r="B344">
        <v>2022</v>
      </c>
      <c r="C344" t="str">
        <f>TEXT(Transformed_Data\[[#This Row],[Date]],"mmm")</f>
        <v>Nov</v>
      </c>
      <c r="D344" s="8">
        <v>6072</v>
      </c>
      <c r="E344" s="8">
        <v>31011</v>
      </c>
      <c r="F344" s="8">
        <v>48000</v>
      </c>
      <c r="G344" s="8">
        <v>16989</v>
      </c>
      <c r="H344" s="2">
        <v>0.35393750000000002</v>
      </c>
      <c r="I344" t="s">
        <v>3</v>
      </c>
      <c r="J344" s="8">
        <v>2139</v>
      </c>
    </row>
    <row r="345" spans="1:10" x14ac:dyDescent="0.3">
      <c r="A345" s="1">
        <v>44866</v>
      </c>
      <c r="B345">
        <v>2022</v>
      </c>
      <c r="C345" t="str">
        <f>TEXT(Transformed_Data\[[#This Row],[Date]],"mmm")</f>
        <v>Nov</v>
      </c>
      <c r="D345" s="8">
        <v>6072</v>
      </c>
      <c r="E345" s="8">
        <v>31011</v>
      </c>
      <c r="F345" s="8">
        <v>48000</v>
      </c>
      <c r="G345" s="8">
        <v>16989</v>
      </c>
      <c r="H345" s="2">
        <v>0.35393750000000002</v>
      </c>
      <c r="I345" t="s">
        <v>4</v>
      </c>
      <c r="J345" s="8">
        <v>732</v>
      </c>
    </row>
    <row r="346" spans="1:10" x14ac:dyDescent="0.3">
      <c r="A346" s="1">
        <v>44866</v>
      </c>
      <c r="B346">
        <v>2022</v>
      </c>
      <c r="C346" t="str">
        <f>TEXT(Transformed_Data\[[#This Row],[Date]],"mmm")</f>
        <v>Nov</v>
      </c>
      <c r="D346" s="8">
        <v>6072</v>
      </c>
      <c r="E346" s="8">
        <v>31011</v>
      </c>
      <c r="F346" s="8">
        <v>48000</v>
      </c>
      <c r="G346" s="8">
        <v>16989</v>
      </c>
      <c r="H346" s="2">
        <v>0.35393750000000002</v>
      </c>
      <c r="I346" t="s">
        <v>5</v>
      </c>
      <c r="J346" s="8">
        <v>2187</v>
      </c>
    </row>
    <row r="347" spans="1:10" x14ac:dyDescent="0.3">
      <c r="A347" s="1">
        <v>44866</v>
      </c>
      <c r="B347">
        <v>2022</v>
      </c>
      <c r="C347" t="str">
        <f>TEXT(Transformed_Data\[[#This Row],[Date]],"mmm")</f>
        <v>Nov</v>
      </c>
      <c r="D347" s="8">
        <v>6072</v>
      </c>
      <c r="E347" s="8">
        <v>31011</v>
      </c>
      <c r="F347" s="8">
        <v>48000</v>
      </c>
      <c r="G347" s="8">
        <v>16989</v>
      </c>
      <c r="H347" s="2">
        <v>0.35393750000000002</v>
      </c>
      <c r="I347" t="s">
        <v>6</v>
      </c>
      <c r="J347" s="8">
        <v>1200</v>
      </c>
    </row>
    <row r="348" spans="1:10" x14ac:dyDescent="0.3">
      <c r="A348" s="1">
        <v>44866</v>
      </c>
      <c r="B348">
        <v>2022</v>
      </c>
      <c r="C348" t="str">
        <f>TEXT(Transformed_Data\[[#This Row],[Date]],"mmm")</f>
        <v>Nov</v>
      </c>
      <c r="D348" s="8">
        <v>6072</v>
      </c>
      <c r="E348" s="8">
        <v>31011</v>
      </c>
      <c r="F348" s="8">
        <v>48000</v>
      </c>
      <c r="G348" s="8">
        <v>16989</v>
      </c>
      <c r="H348" s="2">
        <v>0.35393750000000002</v>
      </c>
      <c r="I348" t="s">
        <v>7</v>
      </c>
      <c r="J348" s="8">
        <v>5682</v>
      </c>
    </row>
    <row r="349" spans="1:10" x14ac:dyDescent="0.3">
      <c r="A349" s="1">
        <v>44866</v>
      </c>
      <c r="B349">
        <v>2022</v>
      </c>
      <c r="C349" t="str">
        <f>TEXT(Transformed_Data\[[#This Row],[Date]],"mmm")</f>
        <v>Nov</v>
      </c>
      <c r="D349" s="8">
        <v>6072</v>
      </c>
      <c r="E349" s="8">
        <v>31011</v>
      </c>
      <c r="F349" s="8">
        <v>48000</v>
      </c>
      <c r="G349" s="8">
        <v>16989</v>
      </c>
      <c r="H349" s="2">
        <v>0.35393750000000002</v>
      </c>
      <c r="I349" t="s">
        <v>9</v>
      </c>
      <c r="J349" s="8">
        <v>0</v>
      </c>
    </row>
    <row r="350" spans="1:10" x14ac:dyDescent="0.3">
      <c r="A350" s="1">
        <v>44866</v>
      </c>
      <c r="B350">
        <v>2022</v>
      </c>
      <c r="C350" t="str">
        <f>TEXT(Transformed_Data\[[#This Row],[Date]],"mmm")</f>
        <v>Nov</v>
      </c>
      <c r="D350" s="8">
        <v>6072</v>
      </c>
      <c r="E350" s="8">
        <v>31011</v>
      </c>
      <c r="F350" s="8">
        <v>48000</v>
      </c>
      <c r="G350" s="8">
        <v>16989</v>
      </c>
      <c r="H350" s="2">
        <v>0.35393750000000002</v>
      </c>
      <c r="I350" t="s">
        <v>10</v>
      </c>
      <c r="J350" s="8">
        <v>1959</v>
      </c>
    </row>
    <row r="351" spans="1:10" x14ac:dyDescent="0.3">
      <c r="A351" s="1">
        <v>44866</v>
      </c>
      <c r="B351">
        <v>2022</v>
      </c>
      <c r="C351" t="str">
        <f>TEXT(Transformed_Data\[[#This Row],[Date]],"mmm")</f>
        <v>Nov</v>
      </c>
      <c r="D351" s="8">
        <v>6072</v>
      </c>
      <c r="E351" s="8">
        <v>31011</v>
      </c>
      <c r="F351" s="8">
        <v>48000</v>
      </c>
      <c r="G351" s="8">
        <v>16989</v>
      </c>
      <c r="H351" s="2">
        <v>0.35393750000000002</v>
      </c>
      <c r="I351" t="s">
        <v>11</v>
      </c>
      <c r="J351" s="8">
        <v>1954</v>
      </c>
    </row>
    <row r="352" spans="1:10" x14ac:dyDescent="0.3">
      <c r="A352" s="1">
        <v>44896</v>
      </c>
      <c r="B352">
        <v>2022</v>
      </c>
      <c r="C352" t="str">
        <f>TEXT(Transformed_Data\[[#This Row],[Date]],"mmm")</f>
        <v>Dec</v>
      </c>
      <c r="D352" s="8">
        <v>8615</v>
      </c>
      <c r="E352" s="8">
        <v>35587</v>
      </c>
      <c r="F352" s="8">
        <v>48000</v>
      </c>
      <c r="G352" s="8">
        <v>12413</v>
      </c>
      <c r="H352" s="2">
        <v>0.25860416666666669</v>
      </c>
      <c r="I352" t="s">
        <v>1</v>
      </c>
      <c r="J352" s="8">
        <v>6797</v>
      </c>
    </row>
    <row r="353" spans="1:10" x14ac:dyDescent="0.3">
      <c r="A353" s="1">
        <v>44896</v>
      </c>
      <c r="B353">
        <v>2022</v>
      </c>
      <c r="C353" t="str">
        <f>TEXT(Transformed_Data\[[#This Row],[Date]],"mmm")</f>
        <v>Dec</v>
      </c>
      <c r="D353" s="8">
        <v>8615</v>
      </c>
      <c r="E353" s="8">
        <v>35587</v>
      </c>
      <c r="F353" s="8">
        <v>48000</v>
      </c>
      <c r="G353" s="8">
        <v>12413</v>
      </c>
      <c r="H353" s="2">
        <v>0.25860416666666669</v>
      </c>
      <c r="I353" t="s">
        <v>2</v>
      </c>
      <c r="J353" s="8">
        <v>10000</v>
      </c>
    </row>
    <row r="354" spans="1:10" x14ac:dyDescent="0.3">
      <c r="A354" s="1">
        <v>44896</v>
      </c>
      <c r="B354">
        <v>2022</v>
      </c>
      <c r="C354" t="str">
        <f>TEXT(Transformed_Data\[[#This Row],[Date]],"mmm")</f>
        <v>Dec</v>
      </c>
      <c r="D354" s="8">
        <v>8615</v>
      </c>
      <c r="E354" s="8">
        <v>35587</v>
      </c>
      <c r="F354" s="8">
        <v>48000</v>
      </c>
      <c r="G354" s="8">
        <v>12413</v>
      </c>
      <c r="H354" s="2">
        <v>0.25860416666666669</v>
      </c>
      <c r="I354" t="s">
        <v>3</v>
      </c>
      <c r="J354" s="8">
        <v>1729</v>
      </c>
    </row>
    <row r="355" spans="1:10" x14ac:dyDescent="0.3">
      <c r="A355" s="1">
        <v>44896</v>
      </c>
      <c r="B355">
        <v>2022</v>
      </c>
      <c r="C355" t="str">
        <f>TEXT(Transformed_Data\[[#This Row],[Date]],"mmm")</f>
        <v>Dec</v>
      </c>
      <c r="D355" s="8">
        <v>8615</v>
      </c>
      <c r="E355" s="8">
        <v>35587</v>
      </c>
      <c r="F355" s="8">
        <v>48000</v>
      </c>
      <c r="G355" s="8">
        <v>12413</v>
      </c>
      <c r="H355" s="2">
        <v>0.25860416666666669</v>
      </c>
      <c r="I355" t="s">
        <v>4</v>
      </c>
      <c r="J355" s="8">
        <v>1064</v>
      </c>
    </row>
    <row r="356" spans="1:10" x14ac:dyDescent="0.3">
      <c r="A356" s="1">
        <v>44896</v>
      </c>
      <c r="B356">
        <v>2022</v>
      </c>
      <c r="C356" t="str">
        <f>TEXT(Transformed_Data\[[#This Row],[Date]],"mmm")</f>
        <v>Dec</v>
      </c>
      <c r="D356" s="8">
        <v>8615</v>
      </c>
      <c r="E356" s="8">
        <v>35587</v>
      </c>
      <c r="F356" s="8">
        <v>48000</v>
      </c>
      <c r="G356" s="8">
        <v>12413</v>
      </c>
      <c r="H356" s="2">
        <v>0.25860416666666669</v>
      </c>
      <c r="I356" t="s">
        <v>5</v>
      </c>
      <c r="J356" s="8">
        <v>2062</v>
      </c>
    </row>
    <row r="357" spans="1:10" x14ac:dyDescent="0.3">
      <c r="A357" s="1">
        <v>44896</v>
      </c>
      <c r="B357">
        <v>2022</v>
      </c>
      <c r="C357" t="str">
        <f>TEXT(Transformed_Data\[[#This Row],[Date]],"mmm")</f>
        <v>Dec</v>
      </c>
      <c r="D357" s="8">
        <v>8615</v>
      </c>
      <c r="E357" s="8">
        <v>35587</v>
      </c>
      <c r="F357" s="8">
        <v>48000</v>
      </c>
      <c r="G357" s="8">
        <v>12413</v>
      </c>
      <c r="H357" s="2">
        <v>0.25860416666666669</v>
      </c>
      <c r="I357" t="s">
        <v>6</v>
      </c>
      <c r="J357" s="8">
        <v>837</v>
      </c>
    </row>
    <row r="358" spans="1:10" x14ac:dyDescent="0.3">
      <c r="A358" s="1">
        <v>44896</v>
      </c>
      <c r="B358">
        <v>2022</v>
      </c>
      <c r="C358" t="str">
        <f>TEXT(Transformed_Data\[[#This Row],[Date]],"mmm")</f>
        <v>Dec</v>
      </c>
      <c r="D358" s="8">
        <v>8615</v>
      </c>
      <c r="E358" s="8">
        <v>35587</v>
      </c>
      <c r="F358" s="8">
        <v>48000</v>
      </c>
      <c r="G358" s="8">
        <v>12413</v>
      </c>
      <c r="H358" s="2">
        <v>0.25860416666666669</v>
      </c>
      <c r="I358" t="s">
        <v>7</v>
      </c>
      <c r="J358" s="8">
        <v>6314</v>
      </c>
    </row>
    <row r="359" spans="1:10" x14ac:dyDescent="0.3">
      <c r="A359" s="1">
        <v>44896</v>
      </c>
      <c r="B359">
        <v>2022</v>
      </c>
      <c r="C359" t="str">
        <f>TEXT(Transformed_Data\[[#This Row],[Date]],"mmm")</f>
        <v>Dec</v>
      </c>
      <c r="D359" s="8">
        <v>8615</v>
      </c>
      <c r="E359" s="8">
        <v>35587</v>
      </c>
      <c r="F359" s="8">
        <v>48000</v>
      </c>
      <c r="G359" s="8">
        <v>12413</v>
      </c>
      <c r="H359" s="2">
        <v>0.25860416666666669</v>
      </c>
      <c r="I359" t="s">
        <v>9</v>
      </c>
      <c r="J359" s="8">
        <v>0</v>
      </c>
    </row>
    <row r="360" spans="1:10" x14ac:dyDescent="0.3">
      <c r="A360" s="1">
        <v>44896</v>
      </c>
      <c r="B360">
        <v>2022</v>
      </c>
      <c r="C360" t="str">
        <f>TEXT(Transformed_Data\[[#This Row],[Date]],"mmm")</f>
        <v>Dec</v>
      </c>
      <c r="D360" s="8">
        <v>8615</v>
      </c>
      <c r="E360" s="8">
        <v>35587</v>
      </c>
      <c r="F360" s="8">
        <v>48000</v>
      </c>
      <c r="G360" s="8">
        <v>12413</v>
      </c>
      <c r="H360" s="2">
        <v>0.25860416666666669</v>
      </c>
      <c r="I360" t="s">
        <v>10</v>
      </c>
      <c r="J360" s="8">
        <v>3985</v>
      </c>
    </row>
    <row r="361" spans="1:10" x14ac:dyDescent="0.3">
      <c r="A361" s="1">
        <v>44896</v>
      </c>
      <c r="B361">
        <v>2022</v>
      </c>
      <c r="C361" t="str">
        <f>TEXT(Transformed_Data\[[#This Row],[Date]],"mmm")</f>
        <v>Dec</v>
      </c>
      <c r="D361" s="8">
        <v>8615</v>
      </c>
      <c r="E361" s="8">
        <v>35587</v>
      </c>
      <c r="F361" s="8">
        <v>48000</v>
      </c>
      <c r="G361" s="8">
        <v>12413</v>
      </c>
      <c r="H361" s="2">
        <v>0.25860416666666669</v>
      </c>
      <c r="I361" t="s">
        <v>11</v>
      </c>
      <c r="J361" s="8">
        <v>2799</v>
      </c>
    </row>
    <row r="362" spans="1:10" x14ac:dyDescent="0.3">
      <c r="A362" s="1">
        <v>44927</v>
      </c>
      <c r="B362">
        <v>2023</v>
      </c>
      <c r="C362" t="str">
        <f>TEXT(Transformed_Data\[[#This Row],[Date]],"mmm")</f>
        <v>Jan</v>
      </c>
      <c r="D362" s="8">
        <v>6147</v>
      </c>
      <c r="E362" s="8">
        <v>31889</v>
      </c>
      <c r="F362" s="8">
        <v>48000</v>
      </c>
      <c r="G362" s="8">
        <v>16111</v>
      </c>
      <c r="H362" s="2">
        <v>0.33564583333333331</v>
      </c>
      <c r="I362" t="s">
        <v>1</v>
      </c>
      <c r="J362" s="8">
        <v>4797</v>
      </c>
    </row>
    <row r="363" spans="1:10" x14ac:dyDescent="0.3">
      <c r="A363" s="1">
        <v>44927</v>
      </c>
      <c r="B363">
        <v>2023</v>
      </c>
      <c r="C363" t="str">
        <f>TEXT(Transformed_Data\[[#This Row],[Date]],"mmm")</f>
        <v>Jan</v>
      </c>
      <c r="D363" s="8">
        <v>6147</v>
      </c>
      <c r="E363" s="8">
        <v>31889</v>
      </c>
      <c r="F363" s="8">
        <v>48000</v>
      </c>
      <c r="G363" s="8">
        <v>16111</v>
      </c>
      <c r="H363" s="2">
        <v>0.33564583333333331</v>
      </c>
      <c r="I363" t="s">
        <v>2</v>
      </c>
      <c r="J363" s="8">
        <v>10000</v>
      </c>
    </row>
    <row r="364" spans="1:10" x14ac:dyDescent="0.3">
      <c r="A364" s="1">
        <v>44927</v>
      </c>
      <c r="B364">
        <v>2023</v>
      </c>
      <c r="C364" t="str">
        <f>TEXT(Transformed_Data\[[#This Row],[Date]],"mmm")</f>
        <v>Jan</v>
      </c>
      <c r="D364" s="8">
        <v>6147</v>
      </c>
      <c r="E364" s="8">
        <v>31889</v>
      </c>
      <c r="F364" s="8">
        <v>48000</v>
      </c>
      <c r="G364" s="8">
        <v>16111</v>
      </c>
      <c r="H364" s="2">
        <v>0.33564583333333331</v>
      </c>
      <c r="I364" t="s">
        <v>3</v>
      </c>
      <c r="J364" s="8">
        <v>2378</v>
      </c>
    </row>
    <row r="365" spans="1:10" x14ac:dyDescent="0.3">
      <c r="A365" s="1">
        <v>44927</v>
      </c>
      <c r="B365">
        <v>2023</v>
      </c>
      <c r="C365" t="str">
        <f>TEXT(Transformed_Data\[[#This Row],[Date]],"mmm")</f>
        <v>Jan</v>
      </c>
      <c r="D365" s="8">
        <v>6147</v>
      </c>
      <c r="E365" s="8">
        <v>31889</v>
      </c>
      <c r="F365" s="8">
        <v>48000</v>
      </c>
      <c r="G365" s="8">
        <v>16111</v>
      </c>
      <c r="H365" s="2">
        <v>0.33564583333333331</v>
      </c>
      <c r="I365" t="s">
        <v>4</v>
      </c>
      <c r="J365" s="8">
        <v>1147</v>
      </c>
    </row>
    <row r="366" spans="1:10" x14ac:dyDescent="0.3">
      <c r="A366" s="1">
        <v>44927</v>
      </c>
      <c r="B366">
        <v>2023</v>
      </c>
      <c r="C366" t="str">
        <f>TEXT(Transformed_Data\[[#This Row],[Date]],"mmm")</f>
        <v>Jan</v>
      </c>
      <c r="D366" s="8">
        <v>6147</v>
      </c>
      <c r="E366" s="8">
        <v>31889</v>
      </c>
      <c r="F366" s="8">
        <v>48000</v>
      </c>
      <c r="G366" s="8">
        <v>16111</v>
      </c>
      <c r="H366" s="2">
        <v>0.33564583333333331</v>
      </c>
      <c r="I366" t="s">
        <v>5</v>
      </c>
      <c r="J366" s="8">
        <v>1980</v>
      </c>
    </row>
    <row r="367" spans="1:10" x14ac:dyDescent="0.3">
      <c r="A367" s="1">
        <v>44927</v>
      </c>
      <c r="B367">
        <v>2023</v>
      </c>
      <c r="C367" t="str">
        <f>TEXT(Transformed_Data\[[#This Row],[Date]],"mmm")</f>
        <v>Jan</v>
      </c>
      <c r="D367" s="8">
        <v>6147</v>
      </c>
      <c r="E367" s="8">
        <v>31889</v>
      </c>
      <c r="F367" s="8">
        <v>48000</v>
      </c>
      <c r="G367" s="8">
        <v>16111</v>
      </c>
      <c r="H367" s="2">
        <v>0.33564583333333331</v>
      </c>
      <c r="I367" t="s">
        <v>6</v>
      </c>
      <c r="J367" s="8">
        <v>1083</v>
      </c>
    </row>
    <row r="368" spans="1:10" x14ac:dyDescent="0.3">
      <c r="A368" s="1">
        <v>44927</v>
      </c>
      <c r="B368">
        <v>2023</v>
      </c>
      <c r="C368" t="str">
        <f>TEXT(Transformed_Data\[[#This Row],[Date]],"mmm")</f>
        <v>Jan</v>
      </c>
      <c r="D368" s="8">
        <v>6147</v>
      </c>
      <c r="E368" s="8">
        <v>31889</v>
      </c>
      <c r="F368" s="8">
        <v>48000</v>
      </c>
      <c r="G368" s="8">
        <v>16111</v>
      </c>
      <c r="H368" s="2">
        <v>0.33564583333333331</v>
      </c>
      <c r="I368" t="s">
        <v>7</v>
      </c>
      <c r="J368" s="8">
        <v>6533</v>
      </c>
    </row>
    <row r="369" spans="1:10" x14ac:dyDescent="0.3">
      <c r="A369" s="1">
        <v>44927</v>
      </c>
      <c r="B369">
        <v>2023</v>
      </c>
      <c r="C369" t="str">
        <f>TEXT(Transformed_Data\[[#This Row],[Date]],"mmm")</f>
        <v>Jan</v>
      </c>
      <c r="D369" s="8">
        <v>6147</v>
      </c>
      <c r="E369" s="8">
        <v>31889</v>
      </c>
      <c r="F369" s="8">
        <v>48000</v>
      </c>
      <c r="G369" s="8">
        <v>16111</v>
      </c>
      <c r="H369" s="2">
        <v>0.33564583333333331</v>
      </c>
      <c r="I369" t="s">
        <v>9</v>
      </c>
      <c r="J369" s="8">
        <v>0</v>
      </c>
    </row>
    <row r="370" spans="1:10" x14ac:dyDescent="0.3">
      <c r="A370" s="1">
        <v>44927</v>
      </c>
      <c r="B370">
        <v>2023</v>
      </c>
      <c r="C370" t="str">
        <f>TEXT(Transformed_Data\[[#This Row],[Date]],"mmm")</f>
        <v>Jan</v>
      </c>
      <c r="D370" s="8">
        <v>6147</v>
      </c>
      <c r="E370" s="8">
        <v>31889</v>
      </c>
      <c r="F370" s="8">
        <v>48000</v>
      </c>
      <c r="G370" s="8">
        <v>16111</v>
      </c>
      <c r="H370" s="2">
        <v>0.33564583333333331</v>
      </c>
      <c r="I370" t="s">
        <v>10</v>
      </c>
      <c r="J370" s="8">
        <v>1952</v>
      </c>
    </row>
    <row r="371" spans="1:10" x14ac:dyDescent="0.3">
      <c r="A371" s="1">
        <v>44927</v>
      </c>
      <c r="B371">
        <v>2023</v>
      </c>
      <c r="C371" t="str">
        <f>TEXT(Transformed_Data\[[#This Row],[Date]],"mmm")</f>
        <v>Jan</v>
      </c>
      <c r="D371" s="8">
        <v>6147</v>
      </c>
      <c r="E371" s="8">
        <v>31889</v>
      </c>
      <c r="F371" s="8">
        <v>48000</v>
      </c>
      <c r="G371" s="8">
        <v>16111</v>
      </c>
      <c r="H371" s="2">
        <v>0.33564583333333331</v>
      </c>
      <c r="I371" t="s">
        <v>11</v>
      </c>
      <c r="J371" s="8">
        <v>2019</v>
      </c>
    </row>
    <row r="372" spans="1:10" x14ac:dyDescent="0.3">
      <c r="A372" s="1">
        <v>44958</v>
      </c>
      <c r="B372">
        <v>2023</v>
      </c>
      <c r="C372" t="str">
        <f>TEXT(Transformed_Data\[[#This Row],[Date]],"mmm")</f>
        <v>Feb</v>
      </c>
      <c r="D372" s="8">
        <v>9191</v>
      </c>
      <c r="E372" s="8">
        <v>32829</v>
      </c>
      <c r="F372" s="8">
        <v>48000</v>
      </c>
      <c r="G372" s="8">
        <v>15171</v>
      </c>
      <c r="H372" s="2">
        <v>0.31606250000000002</v>
      </c>
      <c r="I372" t="s">
        <v>1</v>
      </c>
      <c r="J372" s="8">
        <v>4546</v>
      </c>
    </row>
    <row r="373" spans="1:10" x14ac:dyDescent="0.3">
      <c r="A373" s="1">
        <v>44958</v>
      </c>
      <c r="B373">
        <v>2023</v>
      </c>
      <c r="C373" t="str">
        <f>TEXT(Transformed_Data\[[#This Row],[Date]],"mmm")</f>
        <v>Feb</v>
      </c>
      <c r="D373" s="8">
        <v>9191</v>
      </c>
      <c r="E373" s="8">
        <v>32829</v>
      </c>
      <c r="F373" s="8">
        <v>48000</v>
      </c>
      <c r="G373" s="8">
        <v>15171</v>
      </c>
      <c r="H373" s="2">
        <v>0.31606250000000002</v>
      </c>
      <c r="I373" t="s">
        <v>2</v>
      </c>
      <c r="J373" s="8">
        <v>10000</v>
      </c>
    </row>
    <row r="374" spans="1:10" x14ac:dyDescent="0.3">
      <c r="A374" s="1">
        <v>44958</v>
      </c>
      <c r="B374">
        <v>2023</v>
      </c>
      <c r="C374" t="str">
        <f>TEXT(Transformed_Data\[[#This Row],[Date]],"mmm")</f>
        <v>Feb</v>
      </c>
      <c r="D374" s="8">
        <v>9191</v>
      </c>
      <c r="E374" s="8">
        <v>32829</v>
      </c>
      <c r="F374" s="8">
        <v>48000</v>
      </c>
      <c r="G374" s="8">
        <v>15171</v>
      </c>
      <c r="H374" s="2">
        <v>0.31606250000000002</v>
      </c>
      <c r="I374" t="s">
        <v>3</v>
      </c>
      <c r="J374" s="8">
        <v>3035</v>
      </c>
    </row>
    <row r="375" spans="1:10" x14ac:dyDescent="0.3">
      <c r="A375" s="1">
        <v>44958</v>
      </c>
      <c r="B375">
        <v>2023</v>
      </c>
      <c r="C375" t="str">
        <f>TEXT(Transformed_Data\[[#This Row],[Date]],"mmm")</f>
        <v>Feb</v>
      </c>
      <c r="D375" s="8">
        <v>9191</v>
      </c>
      <c r="E375" s="8">
        <v>32829</v>
      </c>
      <c r="F375" s="8">
        <v>48000</v>
      </c>
      <c r="G375" s="8">
        <v>15171</v>
      </c>
      <c r="H375" s="2">
        <v>0.31606250000000002</v>
      </c>
      <c r="I375" t="s">
        <v>4</v>
      </c>
      <c r="J375" s="8">
        <v>716</v>
      </c>
    </row>
    <row r="376" spans="1:10" x14ac:dyDescent="0.3">
      <c r="A376" s="1">
        <v>44958</v>
      </c>
      <c r="B376">
        <v>2023</v>
      </c>
      <c r="C376" t="str">
        <f>TEXT(Transformed_Data\[[#This Row],[Date]],"mmm")</f>
        <v>Feb</v>
      </c>
      <c r="D376" s="8">
        <v>9191</v>
      </c>
      <c r="E376" s="8">
        <v>32829</v>
      </c>
      <c r="F376" s="8">
        <v>48000</v>
      </c>
      <c r="G376" s="8">
        <v>15171</v>
      </c>
      <c r="H376" s="2">
        <v>0.31606250000000002</v>
      </c>
      <c r="I376" t="s">
        <v>5</v>
      </c>
      <c r="J376" s="8">
        <v>1671</v>
      </c>
    </row>
    <row r="377" spans="1:10" x14ac:dyDescent="0.3">
      <c r="A377" s="1">
        <v>44958</v>
      </c>
      <c r="B377">
        <v>2023</v>
      </c>
      <c r="C377" t="str">
        <f>TEXT(Transformed_Data\[[#This Row],[Date]],"mmm")</f>
        <v>Feb</v>
      </c>
      <c r="D377" s="8">
        <v>9191</v>
      </c>
      <c r="E377" s="8">
        <v>32829</v>
      </c>
      <c r="F377" s="8">
        <v>48000</v>
      </c>
      <c r="G377" s="8">
        <v>15171</v>
      </c>
      <c r="H377" s="2">
        <v>0.31606250000000002</v>
      </c>
      <c r="I377" t="s">
        <v>6</v>
      </c>
      <c r="J377" s="8">
        <v>1872</v>
      </c>
    </row>
    <row r="378" spans="1:10" x14ac:dyDescent="0.3">
      <c r="A378" s="1">
        <v>44958</v>
      </c>
      <c r="B378">
        <v>2023</v>
      </c>
      <c r="C378" t="str">
        <f>TEXT(Transformed_Data\[[#This Row],[Date]],"mmm")</f>
        <v>Feb</v>
      </c>
      <c r="D378" s="8">
        <v>9191</v>
      </c>
      <c r="E378" s="8">
        <v>32829</v>
      </c>
      <c r="F378" s="8">
        <v>48000</v>
      </c>
      <c r="G378" s="8">
        <v>15171</v>
      </c>
      <c r="H378" s="2">
        <v>0.31606250000000002</v>
      </c>
      <c r="I378" t="s">
        <v>7</v>
      </c>
      <c r="J378" s="8">
        <v>7089</v>
      </c>
    </row>
    <row r="379" spans="1:10" x14ac:dyDescent="0.3">
      <c r="A379" s="1">
        <v>44958</v>
      </c>
      <c r="B379">
        <v>2023</v>
      </c>
      <c r="C379" t="str">
        <f>TEXT(Transformed_Data\[[#This Row],[Date]],"mmm")</f>
        <v>Feb</v>
      </c>
      <c r="D379" s="8">
        <v>9191</v>
      </c>
      <c r="E379" s="8">
        <v>32829</v>
      </c>
      <c r="F379" s="8">
        <v>48000</v>
      </c>
      <c r="G379" s="8">
        <v>15171</v>
      </c>
      <c r="H379" s="2">
        <v>0.31606250000000002</v>
      </c>
      <c r="I379" t="s">
        <v>9</v>
      </c>
      <c r="J379" s="8">
        <v>0</v>
      </c>
    </row>
    <row r="380" spans="1:10" x14ac:dyDescent="0.3">
      <c r="A380" s="1">
        <v>44958</v>
      </c>
      <c r="B380">
        <v>2023</v>
      </c>
      <c r="C380" t="str">
        <f>TEXT(Transformed_Data\[[#This Row],[Date]],"mmm")</f>
        <v>Feb</v>
      </c>
      <c r="D380" s="8">
        <v>9191</v>
      </c>
      <c r="E380" s="8">
        <v>32829</v>
      </c>
      <c r="F380" s="8">
        <v>48000</v>
      </c>
      <c r="G380" s="8">
        <v>15171</v>
      </c>
      <c r="H380" s="2">
        <v>0.31606250000000002</v>
      </c>
      <c r="I380" t="s">
        <v>10</v>
      </c>
      <c r="J380" s="8">
        <v>2743</v>
      </c>
    </row>
    <row r="381" spans="1:10" x14ac:dyDescent="0.3">
      <c r="A381" s="1">
        <v>44958</v>
      </c>
      <c r="B381">
        <v>2023</v>
      </c>
      <c r="C381" t="str">
        <f>TEXT(Transformed_Data\[[#This Row],[Date]],"mmm")</f>
        <v>Feb</v>
      </c>
      <c r="D381" s="8">
        <v>9191</v>
      </c>
      <c r="E381" s="8">
        <v>32829</v>
      </c>
      <c r="F381" s="8">
        <v>48000</v>
      </c>
      <c r="G381" s="8">
        <v>15171</v>
      </c>
      <c r="H381" s="2">
        <v>0.31606250000000002</v>
      </c>
      <c r="I381" t="s">
        <v>11</v>
      </c>
      <c r="J381" s="8">
        <v>1157</v>
      </c>
    </row>
    <row r="382" spans="1:10" x14ac:dyDescent="0.3">
      <c r="A382" s="1">
        <v>44986</v>
      </c>
      <c r="B382">
        <v>2023</v>
      </c>
      <c r="C382" t="str">
        <f>TEXT(Transformed_Data\[[#This Row],[Date]],"mmm")</f>
        <v>Mar</v>
      </c>
      <c r="D382" s="8">
        <v>9505</v>
      </c>
      <c r="E382" s="8">
        <v>31983</v>
      </c>
      <c r="F382" s="8">
        <v>48000</v>
      </c>
      <c r="G382" s="8">
        <v>16017</v>
      </c>
      <c r="H382" s="2">
        <v>0.33368750000000003</v>
      </c>
      <c r="I382" t="s">
        <v>1</v>
      </c>
      <c r="J382" s="8">
        <v>6146</v>
      </c>
    </row>
    <row r="383" spans="1:10" x14ac:dyDescent="0.3">
      <c r="A383" s="1">
        <v>44986</v>
      </c>
      <c r="B383">
        <v>2023</v>
      </c>
      <c r="C383" t="str">
        <f>TEXT(Transformed_Data\[[#This Row],[Date]],"mmm")</f>
        <v>Mar</v>
      </c>
      <c r="D383" s="8">
        <v>9505</v>
      </c>
      <c r="E383" s="8">
        <v>31983</v>
      </c>
      <c r="F383" s="8">
        <v>48000</v>
      </c>
      <c r="G383" s="8">
        <v>16017</v>
      </c>
      <c r="H383" s="2">
        <v>0.33368750000000003</v>
      </c>
      <c r="I383" t="s">
        <v>2</v>
      </c>
      <c r="J383" s="8">
        <v>10000</v>
      </c>
    </row>
    <row r="384" spans="1:10" x14ac:dyDescent="0.3">
      <c r="A384" s="1">
        <v>44986</v>
      </c>
      <c r="B384">
        <v>2023</v>
      </c>
      <c r="C384" t="str">
        <f>TEXT(Transformed_Data\[[#This Row],[Date]],"mmm")</f>
        <v>Mar</v>
      </c>
      <c r="D384" s="8">
        <v>9505</v>
      </c>
      <c r="E384" s="8">
        <v>31983</v>
      </c>
      <c r="F384" s="8">
        <v>48000</v>
      </c>
      <c r="G384" s="8">
        <v>16017</v>
      </c>
      <c r="H384" s="2">
        <v>0.33368750000000003</v>
      </c>
      <c r="I384" t="s">
        <v>3</v>
      </c>
      <c r="J384" s="8">
        <v>1779</v>
      </c>
    </row>
    <row r="385" spans="1:10" x14ac:dyDescent="0.3">
      <c r="A385" s="1">
        <v>44986</v>
      </c>
      <c r="B385">
        <v>2023</v>
      </c>
      <c r="C385" t="str">
        <f>TEXT(Transformed_Data\[[#This Row],[Date]],"mmm")</f>
        <v>Mar</v>
      </c>
      <c r="D385" s="8">
        <v>9505</v>
      </c>
      <c r="E385" s="8">
        <v>31983</v>
      </c>
      <c r="F385" s="8">
        <v>48000</v>
      </c>
      <c r="G385" s="8">
        <v>16017</v>
      </c>
      <c r="H385" s="2">
        <v>0.33368750000000003</v>
      </c>
      <c r="I385" t="s">
        <v>4</v>
      </c>
      <c r="J385" s="8">
        <v>1048</v>
      </c>
    </row>
    <row r="386" spans="1:10" x14ac:dyDescent="0.3">
      <c r="A386" s="1">
        <v>44986</v>
      </c>
      <c r="B386">
        <v>2023</v>
      </c>
      <c r="C386" t="str">
        <f>TEXT(Transformed_Data\[[#This Row],[Date]],"mmm")</f>
        <v>Mar</v>
      </c>
      <c r="D386" s="8">
        <v>9505</v>
      </c>
      <c r="E386" s="8">
        <v>31983</v>
      </c>
      <c r="F386" s="8">
        <v>48000</v>
      </c>
      <c r="G386" s="8">
        <v>16017</v>
      </c>
      <c r="H386" s="2">
        <v>0.33368750000000003</v>
      </c>
      <c r="I386" t="s">
        <v>5</v>
      </c>
      <c r="J386" s="8">
        <v>1996</v>
      </c>
    </row>
    <row r="387" spans="1:10" x14ac:dyDescent="0.3">
      <c r="A387" s="1">
        <v>44986</v>
      </c>
      <c r="B387">
        <v>2023</v>
      </c>
      <c r="C387" t="str">
        <f>TEXT(Transformed_Data\[[#This Row],[Date]],"mmm")</f>
        <v>Mar</v>
      </c>
      <c r="D387" s="8">
        <v>9505</v>
      </c>
      <c r="E387" s="8">
        <v>31983</v>
      </c>
      <c r="F387" s="8">
        <v>48000</v>
      </c>
      <c r="G387" s="8">
        <v>16017</v>
      </c>
      <c r="H387" s="2">
        <v>0.33368750000000003</v>
      </c>
      <c r="I387" t="s">
        <v>6</v>
      </c>
      <c r="J387" s="8">
        <v>1860</v>
      </c>
    </row>
    <row r="388" spans="1:10" x14ac:dyDescent="0.3">
      <c r="A388" s="1">
        <v>44986</v>
      </c>
      <c r="B388">
        <v>2023</v>
      </c>
      <c r="C388" t="str">
        <f>TEXT(Transformed_Data\[[#This Row],[Date]],"mmm")</f>
        <v>Mar</v>
      </c>
      <c r="D388" s="8">
        <v>9505</v>
      </c>
      <c r="E388" s="8">
        <v>31983</v>
      </c>
      <c r="F388" s="8">
        <v>48000</v>
      </c>
      <c r="G388" s="8">
        <v>16017</v>
      </c>
      <c r="H388" s="2">
        <v>0.33368750000000003</v>
      </c>
      <c r="I388" t="s">
        <v>7</v>
      </c>
      <c r="J388" s="8">
        <v>6173</v>
      </c>
    </row>
    <row r="389" spans="1:10" x14ac:dyDescent="0.3">
      <c r="A389" s="1">
        <v>44986</v>
      </c>
      <c r="B389">
        <v>2023</v>
      </c>
      <c r="C389" t="str">
        <f>TEXT(Transformed_Data\[[#This Row],[Date]],"mmm")</f>
        <v>Mar</v>
      </c>
      <c r="D389" s="8">
        <v>9505</v>
      </c>
      <c r="E389" s="8">
        <v>31983</v>
      </c>
      <c r="F389" s="8">
        <v>48000</v>
      </c>
      <c r="G389" s="8">
        <v>16017</v>
      </c>
      <c r="H389" s="2">
        <v>0.33368750000000003</v>
      </c>
      <c r="I389" t="s">
        <v>9</v>
      </c>
      <c r="J389" s="8">
        <v>0</v>
      </c>
    </row>
    <row r="390" spans="1:10" x14ac:dyDescent="0.3">
      <c r="A390" s="1">
        <v>44986</v>
      </c>
      <c r="B390">
        <v>2023</v>
      </c>
      <c r="C390" t="str">
        <f>TEXT(Transformed_Data\[[#This Row],[Date]],"mmm")</f>
        <v>Mar</v>
      </c>
      <c r="D390" s="8">
        <v>9505</v>
      </c>
      <c r="E390" s="8">
        <v>31983</v>
      </c>
      <c r="F390" s="8">
        <v>48000</v>
      </c>
      <c r="G390" s="8">
        <v>16017</v>
      </c>
      <c r="H390" s="2">
        <v>0.33368750000000003</v>
      </c>
      <c r="I390" t="s">
        <v>10</v>
      </c>
      <c r="J390" s="8">
        <v>1801</v>
      </c>
    </row>
    <row r="391" spans="1:10" x14ac:dyDescent="0.3">
      <c r="A391" s="1">
        <v>44986</v>
      </c>
      <c r="B391">
        <v>2023</v>
      </c>
      <c r="C391" t="str">
        <f>TEXT(Transformed_Data\[[#This Row],[Date]],"mmm")</f>
        <v>Mar</v>
      </c>
      <c r="D391" s="8">
        <v>9505</v>
      </c>
      <c r="E391" s="8">
        <v>31983</v>
      </c>
      <c r="F391" s="8">
        <v>48000</v>
      </c>
      <c r="G391" s="8">
        <v>16017</v>
      </c>
      <c r="H391" s="2">
        <v>0.33368750000000003</v>
      </c>
      <c r="I391" t="s">
        <v>11</v>
      </c>
      <c r="J391" s="8">
        <v>1180</v>
      </c>
    </row>
    <row r="392" spans="1:10" x14ac:dyDescent="0.3">
      <c r="A392" s="1">
        <v>45017</v>
      </c>
      <c r="B392">
        <v>2023</v>
      </c>
      <c r="C392" t="str">
        <f>TEXT(Transformed_Data\[[#This Row],[Date]],"mmm")</f>
        <v>Apr</v>
      </c>
      <c r="D392" s="8">
        <v>6549</v>
      </c>
      <c r="E392" s="8">
        <v>33653</v>
      </c>
      <c r="F392" s="8">
        <v>56000</v>
      </c>
      <c r="G392" s="8">
        <v>22347</v>
      </c>
      <c r="H392" s="2">
        <v>0.39905357142857145</v>
      </c>
      <c r="I392" t="s">
        <v>1</v>
      </c>
      <c r="J392" s="8">
        <v>5139</v>
      </c>
    </row>
    <row r="393" spans="1:10" x14ac:dyDescent="0.3">
      <c r="A393" s="1">
        <v>45017</v>
      </c>
      <c r="B393">
        <v>2023</v>
      </c>
      <c r="C393" t="str">
        <f>TEXT(Transformed_Data\[[#This Row],[Date]],"mmm")</f>
        <v>Apr</v>
      </c>
      <c r="D393" s="8">
        <v>6549</v>
      </c>
      <c r="E393" s="8">
        <v>33653</v>
      </c>
      <c r="F393" s="8">
        <v>56000</v>
      </c>
      <c r="G393" s="8">
        <v>22347</v>
      </c>
      <c r="H393" s="2">
        <v>0.39905357142857145</v>
      </c>
      <c r="I393" t="s">
        <v>2</v>
      </c>
      <c r="J393" s="8">
        <v>10000</v>
      </c>
    </row>
    <row r="394" spans="1:10" x14ac:dyDescent="0.3">
      <c r="A394" s="1">
        <v>45017</v>
      </c>
      <c r="B394">
        <v>2023</v>
      </c>
      <c r="C394" t="str">
        <f>TEXT(Transformed_Data\[[#This Row],[Date]],"mmm")</f>
        <v>Apr</v>
      </c>
      <c r="D394" s="8">
        <v>6549</v>
      </c>
      <c r="E394" s="8">
        <v>33653</v>
      </c>
      <c r="F394" s="8">
        <v>56000</v>
      </c>
      <c r="G394" s="8">
        <v>22347</v>
      </c>
      <c r="H394" s="2">
        <v>0.39905357142857145</v>
      </c>
      <c r="I394" t="s">
        <v>3</v>
      </c>
      <c r="J394" s="8">
        <v>1752</v>
      </c>
    </row>
    <row r="395" spans="1:10" x14ac:dyDescent="0.3">
      <c r="A395" s="1">
        <v>45017</v>
      </c>
      <c r="B395">
        <v>2023</v>
      </c>
      <c r="C395" t="str">
        <f>TEXT(Transformed_Data\[[#This Row],[Date]],"mmm")</f>
        <v>Apr</v>
      </c>
      <c r="D395" s="8">
        <v>6549</v>
      </c>
      <c r="E395" s="8">
        <v>33653</v>
      </c>
      <c r="F395" s="8">
        <v>56000</v>
      </c>
      <c r="G395" s="8">
        <v>22347</v>
      </c>
      <c r="H395" s="2">
        <v>0.39905357142857145</v>
      </c>
      <c r="I395" t="s">
        <v>4</v>
      </c>
      <c r="J395" s="8">
        <v>1168</v>
      </c>
    </row>
    <row r="396" spans="1:10" x14ac:dyDescent="0.3">
      <c r="A396" s="1">
        <v>45017</v>
      </c>
      <c r="B396">
        <v>2023</v>
      </c>
      <c r="C396" t="str">
        <f>TEXT(Transformed_Data\[[#This Row],[Date]],"mmm")</f>
        <v>Apr</v>
      </c>
      <c r="D396" s="8">
        <v>6549</v>
      </c>
      <c r="E396" s="8">
        <v>33653</v>
      </c>
      <c r="F396" s="8">
        <v>56000</v>
      </c>
      <c r="G396" s="8">
        <v>22347</v>
      </c>
      <c r="H396" s="2">
        <v>0.39905357142857145</v>
      </c>
      <c r="I396" t="s">
        <v>5</v>
      </c>
      <c r="J396" s="8">
        <v>2427</v>
      </c>
    </row>
    <row r="397" spans="1:10" x14ac:dyDescent="0.3">
      <c r="A397" s="1">
        <v>45017</v>
      </c>
      <c r="B397">
        <v>2023</v>
      </c>
      <c r="C397" t="str">
        <f>TEXT(Transformed_Data\[[#This Row],[Date]],"mmm")</f>
        <v>Apr</v>
      </c>
      <c r="D397" s="8">
        <v>6549</v>
      </c>
      <c r="E397" s="8">
        <v>33653</v>
      </c>
      <c r="F397" s="8">
        <v>56000</v>
      </c>
      <c r="G397" s="8">
        <v>22347</v>
      </c>
      <c r="H397" s="2">
        <v>0.39905357142857145</v>
      </c>
      <c r="I397" t="s">
        <v>6</v>
      </c>
      <c r="J397" s="8">
        <v>990</v>
      </c>
    </row>
    <row r="398" spans="1:10" x14ac:dyDescent="0.3">
      <c r="A398" s="1">
        <v>45017</v>
      </c>
      <c r="B398">
        <v>2023</v>
      </c>
      <c r="C398" t="str">
        <f>TEXT(Transformed_Data\[[#This Row],[Date]],"mmm")</f>
        <v>Apr</v>
      </c>
      <c r="D398" s="8">
        <v>6549</v>
      </c>
      <c r="E398" s="8">
        <v>33653</v>
      </c>
      <c r="F398" s="8">
        <v>56000</v>
      </c>
      <c r="G398" s="8">
        <v>22347</v>
      </c>
      <c r="H398" s="2">
        <v>0.39905357142857145</v>
      </c>
      <c r="I398" t="s">
        <v>7</v>
      </c>
      <c r="J398" s="8">
        <v>6487</v>
      </c>
    </row>
    <row r="399" spans="1:10" x14ac:dyDescent="0.3">
      <c r="A399" s="1">
        <v>45017</v>
      </c>
      <c r="B399">
        <v>2023</v>
      </c>
      <c r="C399" t="str">
        <f>TEXT(Transformed_Data\[[#This Row],[Date]],"mmm")</f>
        <v>Apr</v>
      </c>
      <c r="D399" s="8">
        <v>6549</v>
      </c>
      <c r="E399" s="8">
        <v>33653</v>
      </c>
      <c r="F399" s="8">
        <v>56000</v>
      </c>
      <c r="G399" s="8">
        <v>22347</v>
      </c>
      <c r="H399" s="2">
        <v>0.39905357142857145</v>
      </c>
      <c r="I399" t="s">
        <v>9</v>
      </c>
      <c r="J399" s="8">
        <v>0</v>
      </c>
    </row>
    <row r="400" spans="1:10" x14ac:dyDescent="0.3">
      <c r="A400" s="1">
        <v>45017</v>
      </c>
      <c r="B400">
        <v>2023</v>
      </c>
      <c r="C400" t="str">
        <f>TEXT(Transformed_Data\[[#This Row],[Date]],"mmm")</f>
        <v>Apr</v>
      </c>
      <c r="D400" s="8">
        <v>6549</v>
      </c>
      <c r="E400" s="8">
        <v>33653</v>
      </c>
      <c r="F400" s="8">
        <v>56000</v>
      </c>
      <c r="G400" s="8">
        <v>22347</v>
      </c>
      <c r="H400" s="2">
        <v>0.39905357142857145</v>
      </c>
      <c r="I400" t="s">
        <v>10</v>
      </c>
      <c r="J400" s="8">
        <v>3506</v>
      </c>
    </row>
    <row r="401" spans="1:10" x14ac:dyDescent="0.3">
      <c r="A401" s="1">
        <v>45017</v>
      </c>
      <c r="B401">
        <v>2023</v>
      </c>
      <c r="C401" t="str">
        <f>TEXT(Transformed_Data\[[#This Row],[Date]],"mmm")</f>
        <v>Apr</v>
      </c>
      <c r="D401" s="8">
        <v>6549</v>
      </c>
      <c r="E401" s="8">
        <v>33653</v>
      </c>
      <c r="F401" s="8">
        <v>56000</v>
      </c>
      <c r="G401" s="8">
        <v>22347</v>
      </c>
      <c r="H401" s="2">
        <v>0.39905357142857145</v>
      </c>
      <c r="I401" t="s">
        <v>11</v>
      </c>
      <c r="J401" s="8">
        <v>2184</v>
      </c>
    </row>
    <row r="402" spans="1:10" x14ac:dyDescent="0.3">
      <c r="A402" s="1">
        <v>45047</v>
      </c>
      <c r="B402">
        <v>2023</v>
      </c>
      <c r="C402" t="str">
        <f>TEXT(Transformed_Data\[[#This Row],[Date]],"mmm")</f>
        <v>May</v>
      </c>
      <c r="D402" s="8">
        <v>7608</v>
      </c>
      <c r="E402" s="8">
        <v>34558</v>
      </c>
      <c r="F402" s="8">
        <v>56000</v>
      </c>
      <c r="G402" s="8">
        <v>21442</v>
      </c>
      <c r="H402" s="2">
        <v>0.38289285714285715</v>
      </c>
      <c r="I402" t="s">
        <v>1</v>
      </c>
      <c r="J402" s="8">
        <v>5816</v>
      </c>
    </row>
    <row r="403" spans="1:10" x14ac:dyDescent="0.3">
      <c r="A403" s="1">
        <v>45047</v>
      </c>
      <c r="B403">
        <v>2023</v>
      </c>
      <c r="C403" t="str">
        <f>TEXT(Transformed_Data\[[#This Row],[Date]],"mmm")</f>
        <v>May</v>
      </c>
      <c r="D403" s="8">
        <v>7608</v>
      </c>
      <c r="E403" s="8">
        <v>34558</v>
      </c>
      <c r="F403" s="8">
        <v>56000</v>
      </c>
      <c r="G403" s="8">
        <v>21442</v>
      </c>
      <c r="H403" s="2">
        <v>0.38289285714285715</v>
      </c>
      <c r="I403" t="s">
        <v>2</v>
      </c>
      <c r="J403" s="8">
        <v>10000</v>
      </c>
    </row>
    <row r="404" spans="1:10" x14ac:dyDescent="0.3">
      <c r="A404" s="1">
        <v>45047</v>
      </c>
      <c r="B404">
        <v>2023</v>
      </c>
      <c r="C404" t="str">
        <f>TEXT(Transformed_Data\[[#This Row],[Date]],"mmm")</f>
        <v>May</v>
      </c>
      <c r="D404" s="8">
        <v>7608</v>
      </c>
      <c r="E404" s="8">
        <v>34558</v>
      </c>
      <c r="F404" s="8">
        <v>56000</v>
      </c>
      <c r="G404" s="8">
        <v>21442</v>
      </c>
      <c r="H404" s="2">
        <v>0.38289285714285715</v>
      </c>
      <c r="I404" t="s">
        <v>3</v>
      </c>
      <c r="J404" s="8">
        <v>2069</v>
      </c>
    </row>
    <row r="405" spans="1:10" x14ac:dyDescent="0.3">
      <c r="A405" s="1">
        <v>45047</v>
      </c>
      <c r="B405">
        <v>2023</v>
      </c>
      <c r="C405" t="str">
        <f>TEXT(Transformed_Data\[[#This Row],[Date]],"mmm")</f>
        <v>May</v>
      </c>
      <c r="D405" s="8">
        <v>7608</v>
      </c>
      <c r="E405" s="8">
        <v>34558</v>
      </c>
      <c r="F405" s="8">
        <v>56000</v>
      </c>
      <c r="G405" s="8">
        <v>21442</v>
      </c>
      <c r="H405" s="2">
        <v>0.38289285714285715</v>
      </c>
      <c r="I405" t="s">
        <v>4</v>
      </c>
      <c r="J405" s="8">
        <v>1022</v>
      </c>
    </row>
    <row r="406" spans="1:10" x14ac:dyDescent="0.3">
      <c r="A406" s="1">
        <v>45047</v>
      </c>
      <c r="B406">
        <v>2023</v>
      </c>
      <c r="C406" t="str">
        <f>TEXT(Transformed_Data\[[#This Row],[Date]],"mmm")</f>
        <v>May</v>
      </c>
      <c r="D406" s="8">
        <v>7608</v>
      </c>
      <c r="E406" s="8">
        <v>34558</v>
      </c>
      <c r="F406" s="8">
        <v>56000</v>
      </c>
      <c r="G406" s="8">
        <v>21442</v>
      </c>
      <c r="H406" s="2">
        <v>0.38289285714285715</v>
      </c>
      <c r="I406" t="s">
        <v>5</v>
      </c>
      <c r="J406" s="8">
        <v>2371</v>
      </c>
    </row>
    <row r="407" spans="1:10" x14ac:dyDescent="0.3">
      <c r="A407" s="1">
        <v>45047</v>
      </c>
      <c r="B407">
        <v>2023</v>
      </c>
      <c r="C407" t="str">
        <f>TEXT(Transformed_Data\[[#This Row],[Date]],"mmm")</f>
        <v>May</v>
      </c>
      <c r="D407" s="8">
        <v>7608</v>
      </c>
      <c r="E407" s="8">
        <v>34558</v>
      </c>
      <c r="F407" s="8">
        <v>56000</v>
      </c>
      <c r="G407" s="8">
        <v>21442</v>
      </c>
      <c r="H407" s="2">
        <v>0.38289285714285715</v>
      </c>
      <c r="I407" t="s">
        <v>6</v>
      </c>
      <c r="J407" s="8">
        <v>1365</v>
      </c>
    </row>
    <row r="408" spans="1:10" x14ac:dyDescent="0.3">
      <c r="A408" s="1">
        <v>45047</v>
      </c>
      <c r="B408">
        <v>2023</v>
      </c>
      <c r="C408" t="str">
        <f>TEXT(Transformed_Data\[[#This Row],[Date]],"mmm")</f>
        <v>May</v>
      </c>
      <c r="D408" s="8">
        <v>7608</v>
      </c>
      <c r="E408" s="8">
        <v>34558</v>
      </c>
      <c r="F408" s="8">
        <v>56000</v>
      </c>
      <c r="G408" s="8">
        <v>21442</v>
      </c>
      <c r="H408" s="2">
        <v>0.38289285714285715</v>
      </c>
      <c r="I408" t="s">
        <v>7</v>
      </c>
      <c r="J408" s="8">
        <v>7479</v>
      </c>
    </row>
    <row r="409" spans="1:10" x14ac:dyDescent="0.3">
      <c r="A409" s="1">
        <v>45047</v>
      </c>
      <c r="B409">
        <v>2023</v>
      </c>
      <c r="C409" t="str">
        <f>TEXT(Transformed_Data\[[#This Row],[Date]],"mmm")</f>
        <v>May</v>
      </c>
      <c r="D409" s="8">
        <v>7608</v>
      </c>
      <c r="E409" s="8">
        <v>34558</v>
      </c>
      <c r="F409" s="8">
        <v>56000</v>
      </c>
      <c r="G409" s="8">
        <v>21442</v>
      </c>
      <c r="H409" s="2">
        <v>0.38289285714285715</v>
      </c>
      <c r="I409" t="s">
        <v>9</v>
      </c>
      <c r="J409" s="8">
        <v>0</v>
      </c>
    </row>
    <row r="410" spans="1:10" x14ac:dyDescent="0.3">
      <c r="A410" s="1">
        <v>45047</v>
      </c>
      <c r="B410">
        <v>2023</v>
      </c>
      <c r="C410" t="str">
        <f>TEXT(Transformed_Data\[[#This Row],[Date]],"mmm")</f>
        <v>May</v>
      </c>
      <c r="D410" s="8">
        <v>7608</v>
      </c>
      <c r="E410" s="8">
        <v>34558</v>
      </c>
      <c r="F410" s="8">
        <v>56000</v>
      </c>
      <c r="G410" s="8">
        <v>21442</v>
      </c>
      <c r="H410" s="2">
        <v>0.38289285714285715</v>
      </c>
      <c r="I410" t="s">
        <v>10</v>
      </c>
      <c r="J410" s="8">
        <v>2125</v>
      </c>
    </row>
    <row r="411" spans="1:10" x14ac:dyDescent="0.3">
      <c r="A411" s="1">
        <v>45047</v>
      </c>
      <c r="B411">
        <v>2023</v>
      </c>
      <c r="C411" t="str">
        <f>TEXT(Transformed_Data\[[#This Row],[Date]],"mmm")</f>
        <v>May</v>
      </c>
      <c r="D411" s="8">
        <v>7608</v>
      </c>
      <c r="E411" s="8">
        <v>34558</v>
      </c>
      <c r="F411" s="8">
        <v>56000</v>
      </c>
      <c r="G411" s="8">
        <v>21442</v>
      </c>
      <c r="H411" s="2">
        <v>0.38289285714285715</v>
      </c>
      <c r="I411" t="s">
        <v>11</v>
      </c>
      <c r="J411" s="8">
        <v>2311</v>
      </c>
    </row>
    <row r="412" spans="1:10" x14ac:dyDescent="0.3">
      <c r="A412" s="1">
        <v>45078</v>
      </c>
      <c r="B412">
        <v>2023</v>
      </c>
      <c r="C412" t="str">
        <f>TEXT(Transformed_Data\[[#This Row],[Date]],"mmm")</f>
        <v>Jun</v>
      </c>
      <c r="D412" s="8">
        <v>7260</v>
      </c>
      <c r="E412" s="8">
        <v>32900</v>
      </c>
      <c r="F412" s="8">
        <v>56000</v>
      </c>
      <c r="G412" s="8">
        <v>23100</v>
      </c>
      <c r="H412" s="2">
        <v>0.41249999999999998</v>
      </c>
      <c r="I412" t="s">
        <v>1</v>
      </c>
      <c r="J412" s="8">
        <v>4154</v>
      </c>
    </row>
    <row r="413" spans="1:10" x14ac:dyDescent="0.3">
      <c r="A413" s="1">
        <v>45078</v>
      </c>
      <c r="B413">
        <v>2023</v>
      </c>
      <c r="C413" t="str">
        <f>TEXT(Transformed_Data\[[#This Row],[Date]],"mmm")</f>
        <v>Jun</v>
      </c>
      <c r="D413" s="8">
        <v>7260</v>
      </c>
      <c r="E413" s="8">
        <v>32900</v>
      </c>
      <c r="F413" s="8">
        <v>56000</v>
      </c>
      <c r="G413" s="8">
        <v>23100</v>
      </c>
      <c r="H413" s="2">
        <v>0.41249999999999998</v>
      </c>
      <c r="I413" t="s">
        <v>2</v>
      </c>
      <c r="J413" s="8">
        <v>10000</v>
      </c>
    </row>
    <row r="414" spans="1:10" x14ac:dyDescent="0.3">
      <c r="A414" s="1">
        <v>45078</v>
      </c>
      <c r="B414">
        <v>2023</v>
      </c>
      <c r="C414" t="str">
        <f>TEXT(Transformed_Data\[[#This Row],[Date]],"mmm")</f>
        <v>Jun</v>
      </c>
      <c r="D414" s="8">
        <v>7260</v>
      </c>
      <c r="E414" s="8">
        <v>32900</v>
      </c>
      <c r="F414" s="8">
        <v>56000</v>
      </c>
      <c r="G414" s="8">
        <v>23100</v>
      </c>
      <c r="H414" s="2">
        <v>0.41249999999999998</v>
      </c>
      <c r="I414" t="s">
        <v>3</v>
      </c>
      <c r="J414" s="8">
        <v>2909</v>
      </c>
    </row>
    <row r="415" spans="1:10" x14ac:dyDescent="0.3">
      <c r="A415" s="1">
        <v>45078</v>
      </c>
      <c r="B415">
        <v>2023</v>
      </c>
      <c r="C415" t="str">
        <f>TEXT(Transformed_Data\[[#This Row],[Date]],"mmm")</f>
        <v>Jun</v>
      </c>
      <c r="D415" s="8">
        <v>7260</v>
      </c>
      <c r="E415" s="8">
        <v>32900</v>
      </c>
      <c r="F415" s="8">
        <v>56000</v>
      </c>
      <c r="G415" s="8">
        <v>23100</v>
      </c>
      <c r="H415" s="2">
        <v>0.41249999999999998</v>
      </c>
      <c r="I415" t="s">
        <v>4</v>
      </c>
      <c r="J415" s="8">
        <v>1173</v>
      </c>
    </row>
    <row r="416" spans="1:10" x14ac:dyDescent="0.3">
      <c r="A416" s="1">
        <v>45078</v>
      </c>
      <c r="B416">
        <v>2023</v>
      </c>
      <c r="C416" t="str">
        <f>TEXT(Transformed_Data\[[#This Row],[Date]],"mmm")</f>
        <v>Jun</v>
      </c>
      <c r="D416" s="8">
        <v>7260</v>
      </c>
      <c r="E416" s="8">
        <v>32900</v>
      </c>
      <c r="F416" s="8">
        <v>56000</v>
      </c>
      <c r="G416" s="8">
        <v>23100</v>
      </c>
      <c r="H416" s="2">
        <v>0.41249999999999998</v>
      </c>
      <c r="I416" t="s">
        <v>5</v>
      </c>
      <c r="J416" s="8">
        <v>2284</v>
      </c>
    </row>
    <row r="417" spans="1:10" x14ac:dyDescent="0.3">
      <c r="A417" s="1">
        <v>45078</v>
      </c>
      <c r="B417">
        <v>2023</v>
      </c>
      <c r="C417" t="str">
        <f>TEXT(Transformed_Data\[[#This Row],[Date]],"mmm")</f>
        <v>Jun</v>
      </c>
      <c r="D417" s="8">
        <v>7260</v>
      </c>
      <c r="E417" s="8">
        <v>32900</v>
      </c>
      <c r="F417" s="8">
        <v>56000</v>
      </c>
      <c r="G417" s="8">
        <v>23100</v>
      </c>
      <c r="H417" s="2">
        <v>0.41249999999999998</v>
      </c>
      <c r="I417" t="s">
        <v>6</v>
      </c>
      <c r="J417" s="8">
        <v>1289</v>
      </c>
    </row>
    <row r="418" spans="1:10" x14ac:dyDescent="0.3">
      <c r="A418" s="1">
        <v>45078</v>
      </c>
      <c r="B418">
        <v>2023</v>
      </c>
      <c r="C418" t="str">
        <f>TEXT(Transformed_Data\[[#This Row],[Date]],"mmm")</f>
        <v>Jun</v>
      </c>
      <c r="D418" s="8">
        <v>7260</v>
      </c>
      <c r="E418" s="8">
        <v>32900</v>
      </c>
      <c r="F418" s="8">
        <v>56000</v>
      </c>
      <c r="G418" s="8">
        <v>23100</v>
      </c>
      <c r="H418" s="2">
        <v>0.41249999999999998</v>
      </c>
      <c r="I418" t="s">
        <v>7</v>
      </c>
      <c r="J418" s="8">
        <v>7147</v>
      </c>
    </row>
    <row r="419" spans="1:10" x14ac:dyDescent="0.3">
      <c r="A419" s="1">
        <v>45078</v>
      </c>
      <c r="B419">
        <v>2023</v>
      </c>
      <c r="C419" t="str">
        <f>TEXT(Transformed_Data\[[#This Row],[Date]],"mmm")</f>
        <v>Jun</v>
      </c>
      <c r="D419" s="8">
        <v>7260</v>
      </c>
      <c r="E419" s="8">
        <v>32900</v>
      </c>
      <c r="F419" s="8">
        <v>56000</v>
      </c>
      <c r="G419" s="8">
        <v>23100</v>
      </c>
      <c r="H419" s="2">
        <v>0.41249999999999998</v>
      </c>
      <c r="I419" t="s">
        <v>9</v>
      </c>
      <c r="J419" s="8">
        <v>0</v>
      </c>
    </row>
    <row r="420" spans="1:10" x14ac:dyDescent="0.3">
      <c r="A420" s="1">
        <v>45078</v>
      </c>
      <c r="B420">
        <v>2023</v>
      </c>
      <c r="C420" t="str">
        <f>TEXT(Transformed_Data\[[#This Row],[Date]],"mmm")</f>
        <v>Jun</v>
      </c>
      <c r="D420" s="8">
        <v>7260</v>
      </c>
      <c r="E420" s="8">
        <v>32900</v>
      </c>
      <c r="F420" s="8">
        <v>56000</v>
      </c>
      <c r="G420" s="8">
        <v>23100</v>
      </c>
      <c r="H420" s="2">
        <v>0.41249999999999998</v>
      </c>
      <c r="I420" t="s">
        <v>10</v>
      </c>
      <c r="J420" s="8">
        <v>1745</v>
      </c>
    </row>
    <row r="421" spans="1:10" x14ac:dyDescent="0.3">
      <c r="A421" s="1">
        <v>45078</v>
      </c>
      <c r="B421">
        <v>2023</v>
      </c>
      <c r="C421" t="str">
        <f>TEXT(Transformed_Data\[[#This Row],[Date]],"mmm")</f>
        <v>Jun</v>
      </c>
      <c r="D421" s="8">
        <v>7260</v>
      </c>
      <c r="E421" s="8">
        <v>32900</v>
      </c>
      <c r="F421" s="8">
        <v>56000</v>
      </c>
      <c r="G421" s="8">
        <v>23100</v>
      </c>
      <c r="H421" s="2">
        <v>0.41249999999999998</v>
      </c>
      <c r="I421" t="s">
        <v>11</v>
      </c>
      <c r="J421" s="8">
        <v>2199</v>
      </c>
    </row>
    <row r="422" spans="1:10" x14ac:dyDescent="0.3">
      <c r="A422" s="1">
        <v>45108</v>
      </c>
      <c r="B422">
        <v>2023</v>
      </c>
      <c r="C422" t="str">
        <f>TEXT(Transformed_Data\[[#This Row],[Date]],"mmm")</f>
        <v>Jul</v>
      </c>
      <c r="D422" s="8">
        <v>10070</v>
      </c>
      <c r="E422" s="8">
        <v>33138</v>
      </c>
      <c r="F422" s="8">
        <v>56000</v>
      </c>
      <c r="G422" s="8">
        <v>22862</v>
      </c>
      <c r="H422" s="2">
        <v>0.40825</v>
      </c>
      <c r="I422" t="s">
        <v>1</v>
      </c>
      <c r="J422" s="8">
        <v>4537</v>
      </c>
    </row>
    <row r="423" spans="1:10" x14ac:dyDescent="0.3">
      <c r="A423" s="1">
        <v>45108</v>
      </c>
      <c r="B423">
        <v>2023</v>
      </c>
      <c r="C423" t="str">
        <f>TEXT(Transformed_Data\[[#This Row],[Date]],"mmm")</f>
        <v>Jul</v>
      </c>
      <c r="D423" s="8">
        <v>10070</v>
      </c>
      <c r="E423" s="8">
        <v>33138</v>
      </c>
      <c r="F423" s="8">
        <v>56000</v>
      </c>
      <c r="G423" s="8">
        <v>22862</v>
      </c>
      <c r="H423" s="2">
        <v>0.40825</v>
      </c>
      <c r="I423" t="s">
        <v>2</v>
      </c>
      <c r="J423" s="8">
        <v>10000</v>
      </c>
    </row>
    <row r="424" spans="1:10" x14ac:dyDescent="0.3">
      <c r="A424" s="1">
        <v>45108</v>
      </c>
      <c r="B424">
        <v>2023</v>
      </c>
      <c r="C424" t="str">
        <f>TEXT(Transformed_Data\[[#This Row],[Date]],"mmm")</f>
        <v>Jul</v>
      </c>
      <c r="D424" s="8">
        <v>10070</v>
      </c>
      <c r="E424" s="8">
        <v>33138</v>
      </c>
      <c r="F424" s="8">
        <v>56000</v>
      </c>
      <c r="G424" s="8">
        <v>22862</v>
      </c>
      <c r="H424" s="2">
        <v>0.40825</v>
      </c>
      <c r="I424" t="s">
        <v>3</v>
      </c>
      <c r="J424" s="8">
        <v>1907</v>
      </c>
    </row>
    <row r="425" spans="1:10" x14ac:dyDescent="0.3">
      <c r="A425" s="1">
        <v>45108</v>
      </c>
      <c r="B425">
        <v>2023</v>
      </c>
      <c r="C425" t="str">
        <f>TEXT(Transformed_Data\[[#This Row],[Date]],"mmm")</f>
        <v>Jul</v>
      </c>
      <c r="D425" s="8">
        <v>10070</v>
      </c>
      <c r="E425" s="8">
        <v>33138</v>
      </c>
      <c r="F425" s="8">
        <v>56000</v>
      </c>
      <c r="G425" s="8">
        <v>22862</v>
      </c>
      <c r="H425" s="2">
        <v>0.40825</v>
      </c>
      <c r="I425" t="s">
        <v>4</v>
      </c>
      <c r="J425" s="8">
        <v>712</v>
      </c>
    </row>
    <row r="426" spans="1:10" x14ac:dyDescent="0.3">
      <c r="A426" s="1">
        <v>45108</v>
      </c>
      <c r="B426">
        <v>2023</v>
      </c>
      <c r="C426" t="str">
        <f>TEXT(Transformed_Data\[[#This Row],[Date]],"mmm")</f>
        <v>Jul</v>
      </c>
      <c r="D426" s="8">
        <v>10070</v>
      </c>
      <c r="E426" s="8">
        <v>33138</v>
      </c>
      <c r="F426" s="8">
        <v>56000</v>
      </c>
      <c r="G426" s="8">
        <v>22862</v>
      </c>
      <c r="H426" s="2">
        <v>0.40825</v>
      </c>
      <c r="I426" t="s">
        <v>5</v>
      </c>
      <c r="J426" s="8">
        <v>2327</v>
      </c>
    </row>
    <row r="427" spans="1:10" x14ac:dyDescent="0.3">
      <c r="A427" s="1">
        <v>45108</v>
      </c>
      <c r="B427">
        <v>2023</v>
      </c>
      <c r="C427" t="str">
        <f>TEXT(Transformed_Data\[[#This Row],[Date]],"mmm")</f>
        <v>Jul</v>
      </c>
      <c r="D427" s="8">
        <v>10070</v>
      </c>
      <c r="E427" s="8">
        <v>33138</v>
      </c>
      <c r="F427" s="8">
        <v>56000</v>
      </c>
      <c r="G427" s="8">
        <v>22862</v>
      </c>
      <c r="H427" s="2">
        <v>0.40825</v>
      </c>
      <c r="I427" t="s">
        <v>6</v>
      </c>
      <c r="J427" s="8">
        <v>1720</v>
      </c>
    </row>
    <row r="428" spans="1:10" x14ac:dyDescent="0.3">
      <c r="A428" s="1">
        <v>45108</v>
      </c>
      <c r="B428">
        <v>2023</v>
      </c>
      <c r="C428" t="str">
        <f>TEXT(Transformed_Data\[[#This Row],[Date]],"mmm")</f>
        <v>Jul</v>
      </c>
      <c r="D428" s="8">
        <v>10070</v>
      </c>
      <c r="E428" s="8">
        <v>33138</v>
      </c>
      <c r="F428" s="8">
        <v>56000</v>
      </c>
      <c r="G428" s="8">
        <v>22862</v>
      </c>
      <c r="H428" s="2">
        <v>0.40825</v>
      </c>
      <c r="I428" t="s">
        <v>7</v>
      </c>
      <c r="J428" s="8">
        <v>7004</v>
      </c>
    </row>
    <row r="429" spans="1:10" x14ac:dyDescent="0.3">
      <c r="A429" s="1">
        <v>45108</v>
      </c>
      <c r="B429">
        <v>2023</v>
      </c>
      <c r="C429" t="str">
        <f>TEXT(Transformed_Data\[[#This Row],[Date]],"mmm")</f>
        <v>Jul</v>
      </c>
      <c r="D429" s="8">
        <v>10070</v>
      </c>
      <c r="E429" s="8">
        <v>33138</v>
      </c>
      <c r="F429" s="8">
        <v>56000</v>
      </c>
      <c r="G429" s="8">
        <v>22862</v>
      </c>
      <c r="H429" s="2">
        <v>0.40825</v>
      </c>
      <c r="I429" t="s">
        <v>9</v>
      </c>
      <c r="J429" s="8">
        <v>0</v>
      </c>
    </row>
    <row r="430" spans="1:10" x14ac:dyDescent="0.3">
      <c r="A430" s="1">
        <v>45108</v>
      </c>
      <c r="B430">
        <v>2023</v>
      </c>
      <c r="C430" t="str">
        <f>TEXT(Transformed_Data\[[#This Row],[Date]],"mmm")</f>
        <v>Jul</v>
      </c>
      <c r="D430" s="8">
        <v>10070</v>
      </c>
      <c r="E430" s="8">
        <v>33138</v>
      </c>
      <c r="F430" s="8">
        <v>56000</v>
      </c>
      <c r="G430" s="8">
        <v>22862</v>
      </c>
      <c r="H430" s="2">
        <v>0.40825</v>
      </c>
      <c r="I430" t="s">
        <v>10</v>
      </c>
      <c r="J430" s="8">
        <v>3029</v>
      </c>
    </row>
    <row r="431" spans="1:10" x14ac:dyDescent="0.3">
      <c r="A431" s="1">
        <v>45108</v>
      </c>
      <c r="B431">
        <v>2023</v>
      </c>
      <c r="C431" t="str">
        <f>TEXT(Transformed_Data\[[#This Row],[Date]],"mmm")</f>
        <v>Jul</v>
      </c>
      <c r="D431" s="8">
        <v>10070</v>
      </c>
      <c r="E431" s="8">
        <v>33138</v>
      </c>
      <c r="F431" s="8">
        <v>56000</v>
      </c>
      <c r="G431" s="8">
        <v>22862</v>
      </c>
      <c r="H431" s="2">
        <v>0.40825</v>
      </c>
      <c r="I431" t="s">
        <v>11</v>
      </c>
      <c r="J431" s="8">
        <v>1902</v>
      </c>
    </row>
    <row r="432" spans="1:10" x14ac:dyDescent="0.3">
      <c r="A432" s="1">
        <v>45139</v>
      </c>
      <c r="B432">
        <v>2023</v>
      </c>
      <c r="C432" t="str">
        <f>TEXT(Transformed_Data\[[#This Row],[Date]],"mmm")</f>
        <v>Aug</v>
      </c>
      <c r="D432" s="8">
        <v>8841</v>
      </c>
      <c r="E432" s="8">
        <v>33443</v>
      </c>
      <c r="F432" s="8">
        <v>56000</v>
      </c>
      <c r="G432" s="8">
        <v>22557</v>
      </c>
      <c r="H432" s="2">
        <v>0.40280357142857143</v>
      </c>
      <c r="I432" t="s">
        <v>1</v>
      </c>
      <c r="J432" s="8">
        <v>6368</v>
      </c>
    </row>
    <row r="433" spans="1:10" x14ac:dyDescent="0.3">
      <c r="A433" s="1">
        <v>45139</v>
      </c>
      <c r="B433">
        <v>2023</v>
      </c>
      <c r="C433" t="str">
        <f>TEXT(Transformed_Data\[[#This Row],[Date]],"mmm")</f>
        <v>Aug</v>
      </c>
      <c r="D433" s="8">
        <v>8841</v>
      </c>
      <c r="E433" s="8">
        <v>33443</v>
      </c>
      <c r="F433" s="8">
        <v>56000</v>
      </c>
      <c r="G433" s="8">
        <v>22557</v>
      </c>
      <c r="H433" s="2">
        <v>0.40280357142857143</v>
      </c>
      <c r="I433" t="s">
        <v>2</v>
      </c>
      <c r="J433" s="8">
        <v>10000</v>
      </c>
    </row>
    <row r="434" spans="1:10" x14ac:dyDescent="0.3">
      <c r="A434" s="1">
        <v>45139</v>
      </c>
      <c r="B434">
        <v>2023</v>
      </c>
      <c r="C434" t="str">
        <f>TEXT(Transformed_Data\[[#This Row],[Date]],"mmm")</f>
        <v>Aug</v>
      </c>
      <c r="D434" s="8">
        <v>8841</v>
      </c>
      <c r="E434" s="8">
        <v>33443</v>
      </c>
      <c r="F434" s="8">
        <v>56000</v>
      </c>
      <c r="G434" s="8">
        <v>22557</v>
      </c>
      <c r="H434" s="2">
        <v>0.40280357142857143</v>
      </c>
      <c r="I434" t="s">
        <v>3</v>
      </c>
      <c r="J434" s="8">
        <v>1899</v>
      </c>
    </row>
    <row r="435" spans="1:10" x14ac:dyDescent="0.3">
      <c r="A435" s="1">
        <v>45139</v>
      </c>
      <c r="B435">
        <v>2023</v>
      </c>
      <c r="C435" t="str">
        <f>TEXT(Transformed_Data\[[#This Row],[Date]],"mmm")</f>
        <v>Aug</v>
      </c>
      <c r="D435" s="8">
        <v>8841</v>
      </c>
      <c r="E435" s="8">
        <v>33443</v>
      </c>
      <c r="F435" s="8">
        <v>56000</v>
      </c>
      <c r="G435" s="8">
        <v>22557</v>
      </c>
      <c r="H435" s="2">
        <v>0.40280357142857143</v>
      </c>
      <c r="I435" t="s">
        <v>4</v>
      </c>
      <c r="J435" s="8">
        <v>841</v>
      </c>
    </row>
    <row r="436" spans="1:10" x14ac:dyDescent="0.3">
      <c r="A436" s="1">
        <v>45139</v>
      </c>
      <c r="B436">
        <v>2023</v>
      </c>
      <c r="C436" t="str">
        <f>TEXT(Transformed_Data\[[#This Row],[Date]],"mmm")</f>
        <v>Aug</v>
      </c>
      <c r="D436" s="8">
        <v>8841</v>
      </c>
      <c r="E436" s="8">
        <v>33443</v>
      </c>
      <c r="F436" s="8">
        <v>56000</v>
      </c>
      <c r="G436" s="8">
        <v>22557</v>
      </c>
      <c r="H436" s="2">
        <v>0.40280357142857143</v>
      </c>
      <c r="I436" t="s">
        <v>5</v>
      </c>
      <c r="J436" s="8">
        <v>2471</v>
      </c>
    </row>
    <row r="437" spans="1:10" x14ac:dyDescent="0.3">
      <c r="A437" s="1">
        <v>45139</v>
      </c>
      <c r="B437">
        <v>2023</v>
      </c>
      <c r="C437" t="str">
        <f>TEXT(Transformed_Data\[[#This Row],[Date]],"mmm")</f>
        <v>Aug</v>
      </c>
      <c r="D437" s="8">
        <v>8841</v>
      </c>
      <c r="E437" s="8">
        <v>33443</v>
      </c>
      <c r="F437" s="8">
        <v>56000</v>
      </c>
      <c r="G437" s="8">
        <v>22557</v>
      </c>
      <c r="H437" s="2">
        <v>0.40280357142857143</v>
      </c>
      <c r="I437" t="s">
        <v>6</v>
      </c>
      <c r="J437" s="8">
        <v>1311</v>
      </c>
    </row>
    <row r="438" spans="1:10" x14ac:dyDescent="0.3">
      <c r="A438" s="1">
        <v>45139</v>
      </c>
      <c r="B438">
        <v>2023</v>
      </c>
      <c r="C438" t="str">
        <f>TEXT(Transformed_Data\[[#This Row],[Date]],"mmm")</f>
        <v>Aug</v>
      </c>
      <c r="D438" s="8">
        <v>8841</v>
      </c>
      <c r="E438" s="8">
        <v>33443</v>
      </c>
      <c r="F438" s="8">
        <v>56000</v>
      </c>
      <c r="G438" s="8">
        <v>22557</v>
      </c>
      <c r="H438" s="2">
        <v>0.40280357142857143</v>
      </c>
      <c r="I438" t="s">
        <v>7</v>
      </c>
      <c r="J438" s="8">
        <v>5677</v>
      </c>
    </row>
    <row r="439" spans="1:10" x14ac:dyDescent="0.3">
      <c r="A439" s="1">
        <v>45139</v>
      </c>
      <c r="B439">
        <v>2023</v>
      </c>
      <c r="C439" t="str">
        <f>TEXT(Transformed_Data\[[#This Row],[Date]],"mmm")</f>
        <v>Aug</v>
      </c>
      <c r="D439" s="8">
        <v>8841</v>
      </c>
      <c r="E439" s="8">
        <v>33443</v>
      </c>
      <c r="F439" s="8">
        <v>56000</v>
      </c>
      <c r="G439" s="8">
        <v>22557</v>
      </c>
      <c r="H439" s="2">
        <v>0.40280357142857143</v>
      </c>
      <c r="I439" t="s">
        <v>9</v>
      </c>
      <c r="J439" s="8">
        <v>0</v>
      </c>
    </row>
    <row r="440" spans="1:10" x14ac:dyDescent="0.3">
      <c r="A440" s="1">
        <v>45139</v>
      </c>
      <c r="B440">
        <v>2023</v>
      </c>
      <c r="C440" t="str">
        <f>TEXT(Transformed_Data\[[#This Row],[Date]],"mmm")</f>
        <v>Aug</v>
      </c>
      <c r="D440" s="8">
        <v>8841</v>
      </c>
      <c r="E440" s="8">
        <v>33443</v>
      </c>
      <c r="F440" s="8">
        <v>56000</v>
      </c>
      <c r="G440" s="8">
        <v>22557</v>
      </c>
      <c r="H440" s="2">
        <v>0.40280357142857143</v>
      </c>
      <c r="I440" t="s">
        <v>10</v>
      </c>
      <c r="J440" s="8">
        <v>3406</v>
      </c>
    </row>
    <row r="441" spans="1:10" x14ac:dyDescent="0.3">
      <c r="A441" s="1">
        <v>45139</v>
      </c>
      <c r="B441">
        <v>2023</v>
      </c>
      <c r="C441" t="str">
        <f>TEXT(Transformed_Data\[[#This Row],[Date]],"mmm")</f>
        <v>Aug</v>
      </c>
      <c r="D441" s="8">
        <v>8841</v>
      </c>
      <c r="E441" s="8">
        <v>33443</v>
      </c>
      <c r="F441" s="8">
        <v>56000</v>
      </c>
      <c r="G441" s="8">
        <v>22557</v>
      </c>
      <c r="H441" s="2">
        <v>0.40280357142857143</v>
      </c>
      <c r="I441" t="s">
        <v>11</v>
      </c>
      <c r="J441" s="8">
        <v>1470</v>
      </c>
    </row>
    <row r="442" spans="1:10" x14ac:dyDescent="0.3">
      <c r="A442" s="1">
        <v>45170</v>
      </c>
      <c r="B442">
        <v>2023</v>
      </c>
      <c r="C442" t="str">
        <f>TEXT(Transformed_Data\[[#This Row],[Date]],"mmm")</f>
        <v>Sep</v>
      </c>
      <c r="D442" s="8">
        <v>8908</v>
      </c>
      <c r="E442" s="8">
        <v>34111</v>
      </c>
      <c r="F442" s="8">
        <v>56000</v>
      </c>
      <c r="G442" s="8">
        <v>21889</v>
      </c>
      <c r="H442" s="2">
        <v>0.39087499999999997</v>
      </c>
      <c r="I442" t="s">
        <v>1</v>
      </c>
      <c r="J442" s="8">
        <v>5823</v>
      </c>
    </row>
    <row r="443" spans="1:10" x14ac:dyDescent="0.3">
      <c r="A443" s="1">
        <v>45170</v>
      </c>
      <c r="B443">
        <v>2023</v>
      </c>
      <c r="C443" t="str">
        <f>TEXT(Transformed_Data\[[#This Row],[Date]],"mmm")</f>
        <v>Sep</v>
      </c>
      <c r="D443" s="8">
        <v>8908</v>
      </c>
      <c r="E443" s="8">
        <v>34111</v>
      </c>
      <c r="F443" s="8">
        <v>56000</v>
      </c>
      <c r="G443" s="8">
        <v>21889</v>
      </c>
      <c r="H443" s="2">
        <v>0.39087499999999997</v>
      </c>
      <c r="I443" t="s">
        <v>2</v>
      </c>
      <c r="J443" s="8">
        <v>10000</v>
      </c>
    </row>
    <row r="444" spans="1:10" x14ac:dyDescent="0.3">
      <c r="A444" s="1">
        <v>45170</v>
      </c>
      <c r="B444">
        <v>2023</v>
      </c>
      <c r="C444" t="str">
        <f>TEXT(Transformed_Data\[[#This Row],[Date]],"mmm")</f>
        <v>Sep</v>
      </c>
      <c r="D444" s="8">
        <v>8908</v>
      </c>
      <c r="E444" s="8">
        <v>34111</v>
      </c>
      <c r="F444" s="8">
        <v>56000</v>
      </c>
      <c r="G444" s="8">
        <v>21889</v>
      </c>
      <c r="H444" s="2">
        <v>0.39087499999999997</v>
      </c>
      <c r="I444" t="s">
        <v>3</v>
      </c>
      <c r="J444" s="8">
        <v>3482</v>
      </c>
    </row>
    <row r="445" spans="1:10" x14ac:dyDescent="0.3">
      <c r="A445" s="1">
        <v>45170</v>
      </c>
      <c r="B445">
        <v>2023</v>
      </c>
      <c r="C445" t="str">
        <f>TEXT(Transformed_Data\[[#This Row],[Date]],"mmm")</f>
        <v>Sep</v>
      </c>
      <c r="D445" s="8">
        <v>8908</v>
      </c>
      <c r="E445" s="8">
        <v>34111</v>
      </c>
      <c r="F445" s="8">
        <v>56000</v>
      </c>
      <c r="G445" s="8">
        <v>21889</v>
      </c>
      <c r="H445" s="2">
        <v>0.39087499999999997</v>
      </c>
      <c r="I445" t="s">
        <v>4</v>
      </c>
      <c r="J445" s="8">
        <v>1041</v>
      </c>
    </row>
    <row r="446" spans="1:10" x14ac:dyDescent="0.3">
      <c r="A446" s="1">
        <v>45170</v>
      </c>
      <c r="B446">
        <v>2023</v>
      </c>
      <c r="C446" t="str">
        <f>TEXT(Transformed_Data\[[#This Row],[Date]],"mmm")</f>
        <v>Sep</v>
      </c>
      <c r="D446" s="8">
        <v>8908</v>
      </c>
      <c r="E446" s="8">
        <v>34111</v>
      </c>
      <c r="F446" s="8">
        <v>56000</v>
      </c>
      <c r="G446" s="8">
        <v>21889</v>
      </c>
      <c r="H446" s="2">
        <v>0.39087499999999997</v>
      </c>
      <c r="I446" t="s">
        <v>5</v>
      </c>
      <c r="J446" s="8">
        <v>1550</v>
      </c>
    </row>
    <row r="447" spans="1:10" x14ac:dyDescent="0.3">
      <c r="A447" s="1">
        <v>45170</v>
      </c>
      <c r="B447">
        <v>2023</v>
      </c>
      <c r="C447" t="str">
        <f>TEXT(Transformed_Data\[[#This Row],[Date]],"mmm")</f>
        <v>Sep</v>
      </c>
      <c r="D447" s="8">
        <v>8908</v>
      </c>
      <c r="E447" s="8">
        <v>34111</v>
      </c>
      <c r="F447" s="8">
        <v>56000</v>
      </c>
      <c r="G447" s="8">
        <v>21889</v>
      </c>
      <c r="H447" s="2">
        <v>0.39087499999999997</v>
      </c>
      <c r="I447" t="s">
        <v>6</v>
      </c>
      <c r="J447" s="8">
        <v>1526</v>
      </c>
    </row>
    <row r="448" spans="1:10" x14ac:dyDescent="0.3">
      <c r="A448" s="1">
        <v>45170</v>
      </c>
      <c r="B448">
        <v>2023</v>
      </c>
      <c r="C448" t="str">
        <f>TEXT(Transformed_Data\[[#This Row],[Date]],"mmm")</f>
        <v>Sep</v>
      </c>
      <c r="D448" s="8">
        <v>8908</v>
      </c>
      <c r="E448" s="8">
        <v>34111</v>
      </c>
      <c r="F448" s="8">
        <v>56000</v>
      </c>
      <c r="G448" s="8">
        <v>21889</v>
      </c>
      <c r="H448" s="2">
        <v>0.39087499999999997</v>
      </c>
      <c r="I448" t="s">
        <v>7</v>
      </c>
      <c r="J448" s="8">
        <v>6402</v>
      </c>
    </row>
    <row r="449" spans="1:10" x14ac:dyDescent="0.3">
      <c r="A449" s="1">
        <v>45170</v>
      </c>
      <c r="B449">
        <v>2023</v>
      </c>
      <c r="C449" t="str">
        <f>TEXT(Transformed_Data\[[#This Row],[Date]],"mmm")</f>
        <v>Sep</v>
      </c>
      <c r="D449" s="8">
        <v>8908</v>
      </c>
      <c r="E449" s="8">
        <v>34111</v>
      </c>
      <c r="F449" s="8">
        <v>56000</v>
      </c>
      <c r="G449" s="8">
        <v>21889</v>
      </c>
      <c r="H449" s="2">
        <v>0.39087499999999997</v>
      </c>
      <c r="I449" t="s">
        <v>9</v>
      </c>
      <c r="J449" s="8">
        <v>0</v>
      </c>
    </row>
    <row r="450" spans="1:10" x14ac:dyDescent="0.3">
      <c r="A450" s="1">
        <v>45170</v>
      </c>
      <c r="B450">
        <v>2023</v>
      </c>
      <c r="C450" t="str">
        <f>TEXT(Transformed_Data\[[#This Row],[Date]],"mmm")</f>
        <v>Sep</v>
      </c>
      <c r="D450" s="8">
        <v>8908</v>
      </c>
      <c r="E450" s="8">
        <v>34111</v>
      </c>
      <c r="F450" s="8">
        <v>56000</v>
      </c>
      <c r="G450" s="8">
        <v>21889</v>
      </c>
      <c r="H450" s="2">
        <v>0.39087499999999997</v>
      </c>
      <c r="I450" t="s">
        <v>10</v>
      </c>
      <c r="J450" s="8">
        <v>2074</v>
      </c>
    </row>
    <row r="451" spans="1:10" x14ac:dyDescent="0.3">
      <c r="A451" s="1">
        <v>45170</v>
      </c>
      <c r="B451">
        <v>2023</v>
      </c>
      <c r="C451" t="str">
        <f>TEXT(Transformed_Data\[[#This Row],[Date]],"mmm")</f>
        <v>Sep</v>
      </c>
      <c r="D451" s="8">
        <v>8908</v>
      </c>
      <c r="E451" s="8">
        <v>34111</v>
      </c>
      <c r="F451" s="8">
        <v>56000</v>
      </c>
      <c r="G451" s="8">
        <v>21889</v>
      </c>
      <c r="H451" s="2">
        <v>0.39087499999999997</v>
      </c>
      <c r="I451" t="s">
        <v>11</v>
      </c>
      <c r="J451" s="8">
        <v>2213</v>
      </c>
    </row>
    <row r="452" spans="1:10" x14ac:dyDescent="0.3">
      <c r="A452" s="1">
        <v>45200</v>
      </c>
      <c r="B452">
        <v>2023</v>
      </c>
      <c r="C452" t="str">
        <f>TEXT(Transformed_Data\[[#This Row],[Date]],"mmm")</f>
        <v>Oct</v>
      </c>
      <c r="D452" s="8">
        <v>9911</v>
      </c>
      <c r="E452" s="8">
        <v>35358</v>
      </c>
      <c r="F452" s="8">
        <v>56000</v>
      </c>
      <c r="G452" s="8">
        <v>20642</v>
      </c>
      <c r="H452" s="2">
        <v>0.36860714285714286</v>
      </c>
      <c r="I452" t="s">
        <v>1</v>
      </c>
      <c r="J452" s="8">
        <v>6352</v>
      </c>
    </row>
    <row r="453" spans="1:10" x14ac:dyDescent="0.3">
      <c r="A453" s="1">
        <v>45200</v>
      </c>
      <c r="B453">
        <v>2023</v>
      </c>
      <c r="C453" t="str">
        <f>TEXT(Transformed_Data\[[#This Row],[Date]],"mmm")</f>
        <v>Oct</v>
      </c>
      <c r="D453" s="8">
        <v>9911</v>
      </c>
      <c r="E453" s="8">
        <v>35358</v>
      </c>
      <c r="F453" s="8">
        <v>56000</v>
      </c>
      <c r="G453" s="8">
        <v>20642</v>
      </c>
      <c r="H453" s="2">
        <v>0.36860714285714286</v>
      </c>
      <c r="I453" t="s">
        <v>2</v>
      </c>
      <c r="J453" s="8">
        <v>10000</v>
      </c>
    </row>
    <row r="454" spans="1:10" x14ac:dyDescent="0.3">
      <c r="A454" s="1">
        <v>45200</v>
      </c>
      <c r="B454">
        <v>2023</v>
      </c>
      <c r="C454" t="str">
        <f>TEXT(Transformed_Data\[[#This Row],[Date]],"mmm")</f>
        <v>Oct</v>
      </c>
      <c r="D454" s="8">
        <v>9911</v>
      </c>
      <c r="E454" s="8">
        <v>35358</v>
      </c>
      <c r="F454" s="8">
        <v>56000</v>
      </c>
      <c r="G454" s="8">
        <v>20642</v>
      </c>
      <c r="H454" s="2">
        <v>0.36860714285714286</v>
      </c>
      <c r="I454" t="s">
        <v>3</v>
      </c>
      <c r="J454" s="8">
        <v>2337</v>
      </c>
    </row>
    <row r="455" spans="1:10" x14ac:dyDescent="0.3">
      <c r="A455" s="1">
        <v>45200</v>
      </c>
      <c r="B455">
        <v>2023</v>
      </c>
      <c r="C455" t="str">
        <f>TEXT(Transformed_Data\[[#This Row],[Date]],"mmm")</f>
        <v>Oct</v>
      </c>
      <c r="D455" s="8">
        <v>9911</v>
      </c>
      <c r="E455" s="8">
        <v>35358</v>
      </c>
      <c r="F455" s="8">
        <v>56000</v>
      </c>
      <c r="G455" s="8">
        <v>20642</v>
      </c>
      <c r="H455" s="2">
        <v>0.36860714285714286</v>
      </c>
      <c r="I455" t="s">
        <v>4</v>
      </c>
      <c r="J455" s="8">
        <v>970</v>
      </c>
    </row>
    <row r="456" spans="1:10" x14ac:dyDescent="0.3">
      <c r="A456" s="1">
        <v>45200</v>
      </c>
      <c r="B456">
        <v>2023</v>
      </c>
      <c r="C456" t="str">
        <f>TEXT(Transformed_Data\[[#This Row],[Date]],"mmm")</f>
        <v>Oct</v>
      </c>
      <c r="D456" s="8">
        <v>9911</v>
      </c>
      <c r="E456" s="8">
        <v>35358</v>
      </c>
      <c r="F456" s="8">
        <v>56000</v>
      </c>
      <c r="G456" s="8">
        <v>20642</v>
      </c>
      <c r="H456" s="2">
        <v>0.36860714285714286</v>
      </c>
      <c r="I456" t="s">
        <v>5</v>
      </c>
      <c r="J456" s="8">
        <v>1553</v>
      </c>
    </row>
    <row r="457" spans="1:10" x14ac:dyDescent="0.3">
      <c r="A457" s="1">
        <v>45200</v>
      </c>
      <c r="B457">
        <v>2023</v>
      </c>
      <c r="C457" t="str">
        <f>TEXT(Transformed_Data\[[#This Row],[Date]],"mmm")</f>
        <v>Oct</v>
      </c>
      <c r="D457" s="8">
        <v>9911</v>
      </c>
      <c r="E457" s="8">
        <v>35358</v>
      </c>
      <c r="F457" s="8">
        <v>56000</v>
      </c>
      <c r="G457" s="8">
        <v>20642</v>
      </c>
      <c r="H457" s="2">
        <v>0.36860714285714286</v>
      </c>
      <c r="I457" t="s">
        <v>6</v>
      </c>
      <c r="J457" s="8">
        <v>1481</v>
      </c>
    </row>
    <row r="458" spans="1:10" x14ac:dyDescent="0.3">
      <c r="A458" s="1">
        <v>45200</v>
      </c>
      <c r="B458">
        <v>2023</v>
      </c>
      <c r="C458" t="str">
        <f>TEXT(Transformed_Data\[[#This Row],[Date]],"mmm")</f>
        <v>Oct</v>
      </c>
      <c r="D458" s="8">
        <v>9911</v>
      </c>
      <c r="E458" s="8">
        <v>35358</v>
      </c>
      <c r="F458" s="8">
        <v>56000</v>
      </c>
      <c r="G458" s="8">
        <v>20642</v>
      </c>
      <c r="H458" s="2">
        <v>0.36860714285714286</v>
      </c>
      <c r="I458" t="s">
        <v>7</v>
      </c>
      <c r="J458" s="8">
        <v>7062</v>
      </c>
    </row>
    <row r="459" spans="1:10" x14ac:dyDescent="0.3">
      <c r="A459" s="1">
        <v>45200</v>
      </c>
      <c r="B459">
        <v>2023</v>
      </c>
      <c r="C459" t="str">
        <f>TEXT(Transformed_Data\[[#This Row],[Date]],"mmm")</f>
        <v>Oct</v>
      </c>
      <c r="D459" s="8">
        <v>9911</v>
      </c>
      <c r="E459" s="8">
        <v>35358</v>
      </c>
      <c r="F459" s="8">
        <v>56000</v>
      </c>
      <c r="G459" s="8">
        <v>20642</v>
      </c>
      <c r="H459" s="2">
        <v>0.36860714285714286</v>
      </c>
      <c r="I459" t="s">
        <v>9</v>
      </c>
      <c r="J459" s="8">
        <v>0</v>
      </c>
    </row>
    <row r="460" spans="1:10" x14ac:dyDescent="0.3">
      <c r="A460" s="1">
        <v>45200</v>
      </c>
      <c r="B460">
        <v>2023</v>
      </c>
      <c r="C460" t="str">
        <f>TEXT(Transformed_Data\[[#This Row],[Date]],"mmm")</f>
        <v>Oct</v>
      </c>
      <c r="D460" s="8">
        <v>9911</v>
      </c>
      <c r="E460" s="8">
        <v>35358</v>
      </c>
      <c r="F460" s="8">
        <v>56000</v>
      </c>
      <c r="G460" s="8">
        <v>20642</v>
      </c>
      <c r="H460" s="2">
        <v>0.36860714285714286</v>
      </c>
      <c r="I460" t="s">
        <v>10</v>
      </c>
      <c r="J460" s="8">
        <v>3991</v>
      </c>
    </row>
    <row r="461" spans="1:10" x14ac:dyDescent="0.3">
      <c r="A461" s="1">
        <v>45200</v>
      </c>
      <c r="B461">
        <v>2023</v>
      </c>
      <c r="C461" t="str">
        <f>TEXT(Transformed_Data\[[#This Row],[Date]],"mmm")</f>
        <v>Oct</v>
      </c>
      <c r="D461" s="8">
        <v>9911</v>
      </c>
      <c r="E461" s="8">
        <v>35358</v>
      </c>
      <c r="F461" s="8">
        <v>56000</v>
      </c>
      <c r="G461" s="8">
        <v>20642</v>
      </c>
      <c r="H461" s="2">
        <v>0.36860714285714286</v>
      </c>
      <c r="I461" t="s">
        <v>11</v>
      </c>
      <c r="J461" s="8">
        <v>1612</v>
      </c>
    </row>
    <row r="462" spans="1:10" x14ac:dyDescent="0.3">
      <c r="A462" s="1">
        <v>45231</v>
      </c>
      <c r="B462">
        <v>2023</v>
      </c>
      <c r="C462" t="str">
        <f>TEXT(Transformed_Data\[[#This Row],[Date]],"mmm")</f>
        <v>Nov</v>
      </c>
      <c r="D462" s="8">
        <v>9517</v>
      </c>
      <c r="E462" s="8">
        <v>38811</v>
      </c>
      <c r="F462" s="8">
        <v>56000</v>
      </c>
      <c r="G462" s="8">
        <v>17189</v>
      </c>
      <c r="H462" s="2">
        <v>0.30694642857142856</v>
      </c>
      <c r="I462" t="s">
        <v>1</v>
      </c>
      <c r="J462" s="8">
        <v>6004</v>
      </c>
    </row>
    <row r="463" spans="1:10" x14ac:dyDescent="0.3">
      <c r="A463" s="1">
        <v>45231</v>
      </c>
      <c r="B463">
        <v>2023</v>
      </c>
      <c r="C463" t="str">
        <f>TEXT(Transformed_Data\[[#This Row],[Date]],"mmm")</f>
        <v>Nov</v>
      </c>
      <c r="D463" s="8">
        <v>9517</v>
      </c>
      <c r="E463" s="8">
        <v>38811</v>
      </c>
      <c r="F463" s="8">
        <v>56000</v>
      </c>
      <c r="G463" s="8">
        <v>17189</v>
      </c>
      <c r="H463" s="2">
        <v>0.30694642857142856</v>
      </c>
      <c r="I463" t="s">
        <v>2</v>
      </c>
      <c r="J463" s="8">
        <v>13000</v>
      </c>
    </row>
    <row r="464" spans="1:10" x14ac:dyDescent="0.3">
      <c r="A464" s="1">
        <v>45231</v>
      </c>
      <c r="B464">
        <v>2023</v>
      </c>
      <c r="C464" t="str">
        <f>TEXT(Transformed_Data\[[#This Row],[Date]],"mmm")</f>
        <v>Nov</v>
      </c>
      <c r="D464" s="8">
        <v>9517</v>
      </c>
      <c r="E464" s="8">
        <v>38811</v>
      </c>
      <c r="F464" s="8">
        <v>56000</v>
      </c>
      <c r="G464" s="8">
        <v>17189</v>
      </c>
      <c r="H464" s="2">
        <v>0.30694642857142856</v>
      </c>
      <c r="I464" t="s">
        <v>3</v>
      </c>
      <c r="J464" s="8">
        <v>2719</v>
      </c>
    </row>
    <row r="465" spans="1:10" x14ac:dyDescent="0.3">
      <c r="A465" s="1">
        <v>45231</v>
      </c>
      <c r="B465">
        <v>2023</v>
      </c>
      <c r="C465" t="str">
        <f>TEXT(Transformed_Data\[[#This Row],[Date]],"mmm")</f>
        <v>Nov</v>
      </c>
      <c r="D465" s="8">
        <v>9517</v>
      </c>
      <c r="E465" s="8">
        <v>38811</v>
      </c>
      <c r="F465" s="8">
        <v>56000</v>
      </c>
      <c r="G465" s="8">
        <v>17189</v>
      </c>
      <c r="H465" s="2">
        <v>0.30694642857142856</v>
      </c>
      <c r="I465" t="s">
        <v>4</v>
      </c>
      <c r="J465" s="8">
        <v>961</v>
      </c>
    </row>
    <row r="466" spans="1:10" x14ac:dyDescent="0.3">
      <c r="A466" s="1">
        <v>45231</v>
      </c>
      <c r="B466">
        <v>2023</v>
      </c>
      <c r="C466" t="str">
        <f>TEXT(Transformed_Data\[[#This Row],[Date]],"mmm")</f>
        <v>Nov</v>
      </c>
      <c r="D466" s="8">
        <v>9517</v>
      </c>
      <c r="E466" s="8">
        <v>38811</v>
      </c>
      <c r="F466" s="8">
        <v>56000</v>
      </c>
      <c r="G466" s="8">
        <v>17189</v>
      </c>
      <c r="H466" s="2">
        <v>0.30694642857142856</v>
      </c>
      <c r="I466" t="s">
        <v>5</v>
      </c>
      <c r="J466" s="8">
        <v>2376</v>
      </c>
    </row>
    <row r="467" spans="1:10" x14ac:dyDescent="0.3">
      <c r="A467" s="1">
        <v>45231</v>
      </c>
      <c r="B467">
        <v>2023</v>
      </c>
      <c r="C467" t="str">
        <f>TEXT(Transformed_Data\[[#This Row],[Date]],"mmm")</f>
        <v>Nov</v>
      </c>
      <c r="D467" s="8">
        <v>9517</v>
      </c>
      <c r="E467" s="8">
        <v>38811</v>
      </c>
      <c r="F467" s="8">
        <v>56000</v>
      </c>
      <c r="G467" s="8">
        <v>17189</v>
      </c>
      <c r="H467" s="2">
        <v>0.30694642857142856</v>
      </c>
      <c r="I467" t="s">
        <v>6</v>
      </c>
      <c r="J467" s="8">
        <v>2626</v>
      </c>
    </row>
    <row r="468" spans="1:10" x14ac:dyDescent="0.3">
      <c r="A468" s="1">
        <v>45231</v>
      </c>
      <c r="B468">
        <v>2023</v>
      </c>
      <c r="C468" t="str">
        <f>TEXT(Transformed_Data\[[#This Row],[Date]],"mmm")</f>
        <v>Nov</v>
      </c>
      <c r="D468" s="8">
        <v>9517</v>
      </c>
      <c r="E468" s="8">
        <v>38811</v>
      </c>
      <c r="F468" s="8">
        <v>56000</v>
      </c>
      <c r="G468" s="8">
        <v>17189</v>
      </c>
      <c r="H468" s="2">
        <v>0.30694642857142856</v>
      </c>
      <c r="I468" t="s">
        <v>7</v>
      </c>
      <c r="J468" s="8">
        <v>6751</v>
      </c>
    </row>
    <row r="469" spans="1:10" x14ac:dyDescent="0.3">
      <c r="A469" s="1">
        <v>45231</v>
      </c>
      <c r="B469">
        <v>2023</v>
      </c>
      <c r="C469" t="str">
        <f>TEXT(Transformed_Data\[[#This Row],[Date]],"mmm")</f>
        <v>Nov</v>
      </c>
      <c r="D469" s="8">
        <v>9517</v>
      </c>
      <c r="E469" s="8">
        <v>38811</v>
      </c>
      <c r="F469" s="8">
        <v>56000</v>
      </c>
      <c r="G469" s="8">
        <v>17189</v>
      </c>
      <c r="H469" s="2">
        <v>0.30694642857142856</v>
      </c>
      <c r="I469" t="s">
        <v>9</v>
      </c>
      <c r="J469" s="8">
        <v>0</v>
      </c>
    </row>
    <row r="470" spans="1:10" x14ac:dyDescent="0.3">
      <c r="A470" s="1">
        <v>45231</v>
      </c>
      <c r="B470">
        <v>2023</v>
      </c>
      <c r="C470" t="str">
        <f>TEXT(Transformed_Data\[[#This Row],[Date]],"mmm")</f>
        <v>Nov</v>
      </c>
      <c r="D470" s="8">
        <v>9517</v>
      </c>
      <c r="E470" s="8">
        <v>38811</v>
      </c>
      <c r="F470" s="8">
        <v>56000</v>
      </c>
      <c r="G470" s="8">
        <v>17189</v>
      </c>
      <c r="H470" s="2">
        <v>0.30694642857142856</v>
      </c>
      <c r="I470" t="s">
        <v>10</v>
      </c>
      <c r="J470" s="8">
        <v>2491</v>
      </c>
    </row>
    <row r="471" spans="1:10" x14ac:dyDescent="0.3">
      <c r="A471" s="1">
        <v>45231</v>
      </c>
      <c r="B471">
        <v>2023</v>
      </c>
      <c r="C471" t="str">
        <f>TEXT(Transformed_Data\[[#This Row],[Date]],"mmm")</f>
        <v>Nov</v>
      </c>
      <c r="D471" s="8">
        <v>9517</v>
      </c>
      <c r="E471" s="8">
        <v>38811</v>
      </c>
      <c r="F471" s="8">
        <v>56000</v>
      </c>
      <c r="G471" s="8">
        <v>17189</v>
      </c>
      <c r="H471" s="2">
        <v>0.30694642857142856</v>
      </c>
      <c r="I471" t="s">
        <v>11</v>
      </c>
      <c r="J471" s="8">
        <v>1883</v>
      </c>
    </row>
    <row r="472" spans="1:10" x14ac:dyDescent="0.3">
      <c r="A472" s="1">
        <v>45261</v>
      </c>
      <c r="B472">
        <v>2023</v>
      </c>
      <c r="C472" t="str">
        <f>TEXT(Transformed_Data\[[#This Row],[Date]],"mmm")</f>
        <v>Dec</v>
      </c>
      <c r="D472" s="8">
        <v>7833</v>
      </c>
      <c r="E472" s="8">
        <v>40146</v>
      </c>
      <c r="F472" s="8">
        <v>56000</v>
      </c>
      <c r="G472" s="8">
        <v>15854</v>
      </c>
      <c r="H472" s="2">
        <v>0.28310714285714284</v>
      </c>
      <c r="I472" t="s">
        <v>1</v>
      </c>
      <c r="J472" s="8">
        <v>8983</v>
      </c>
    </row>
    <row r="473" spans="1:10" x14ac:dyDescent="0.3">
      <c r="A473" s="1">
        <v>45261</v>
      </c>
      <c r="B473">
        <v>2023</v>
      </c>
      <c r="C473" t="str">
        <f>TEXT(Transformed_Data\[[#This Row],[Date]],"mmm")</f>
        <v>Dec</v>
      </c>
      <c r="D473" s="8">
        <v>7833</v>
      </c>
      <c r="E473" s="8">
        <v>40146</v>
      </c>
      <c r="F473" s="8">
        <v>56000</v>
      </c>
      <c r="G473" s="8">
        <v>15854</v>
      </c>
      <c r="H473" s="2">
        <v>0.28310714285714284</v>
      </c>
      <c r="I473" t="s">
        <v>2</v>
      </c>
      <c r="J473" s="8">
        <v>13000</v>
      </c>
    </row>
    <row r="474" spans="1:10" x14ac:dyDescent="0.3">
      <c r="A474" s="1">
        <v>45261</v>
      </c>
      <c r="B474">
        <v>2023</v>
      </c>
      <c r="C474" t="str">
        <f>TEXT(Transformed_Data\[[#This Row],[Date]],"mmm")</f>
        <v>Dec</v>
      </c>
      <c r="D474" s="8">
        <v>7833</v>
      </c>
      <c r="E474" s="8">
        <v>40146</v>
      </c>
      <c r="F474" s="8">
        <v>56000</v>
      </c>
      <c r="G474" s="8">
        <v>15854</v>
      </c>
      <c r="H474" s="2">
        <v>0.28310714285714284</v>
      </c>
      <c r="I474" t="s">
        <v>3</v>
      </c>
      <c r="J474" s="8">
        <v>1768</v>
      </c>
    </row>
    <row r="475" spans="1:10" x14ac:dyDescent="0.3">
      <c r="A475" s="1">
        <v>45261</v>
      </c>
      <c r="B475">
        <v>2023</v>
      </c>
      <c r="C475" t="str">
        <f>TEXT(Transformed_Data\[[#This Row],[Date]],"mmm")</f>
        <v>Dec</v>
      </c>
      <c r="D475" s="8">
        <v>7833</v>
      </c>
      <c r="E475" s="8">
        <v>40146</v>
      </c>
      <c r="F475" s="8">
        <v>56000</v>
      </c>
      <c r="G475" s="8">
        <v>15854</v>
      </c>
      <c r="H475" s="2">
        <v>0.28310714285714284</v>
      </c>
      <c r="I475" t="s">
        <v>4</v>
      </c>
      <c r="J475" s="8">
        <v>1069</v>
      </c>
    </row>
    <row r="476" spans="1:10" x14ac:dyDescent="0.3">
      <c r="A476" s="1">
        <v>45261</v>
      </c>
      <c r="B476">
        <v>2023</v>
      </c>
      <c r="C476" t="str">
        <f>TEXT(Transformed_Data\[[#This Row],[Date]],"mmm")</f>
        <v>Dec</v>
      </c>
      <c r="D476" s="8">
        <v>7833</v>
      </c>
      <c r="E476" s="8">
        <v>40146</v>
      </c>
      <c r="F476" s="8">
        <v>56000</v>
      </c>
      <c r="G476" s="8">
        <v>15854</v>
      </c>
      <c r="H476" s="2">
        <v>0.28310714285714284</v>
      </c>
      <c r="I476" t="s">
        <v>5</v>
      </c>
      <c r="J476" s="8">
        <v>2135</v>
      </c>
    </row>
    <row r="477" spans="1:10" x14ac:dyDescent="0.3">
      <c r="A477" s="1">
        <v>45261</v>
      </c>
      <c r="B477">
        <v>2023</v>
      </c>
      <c r="C477" t="str">
        <f>TEXT(Transformed_Data\[[#This Row],[Date]],"mmm")</f>
        <v>Dec</v>
      </c>
      <c r="D477" s="8">
        <v>7833</v>
      </c>
      <c r="E477" s="8">
        <v>40146</v>
      </c>
      <c r="F477" s="8">
        <v>56000</v>
      </c>
      <c r="G477" s="8">
        <v>15854</v>
      </c>
      <c r="H477" s="2">
        <v>0.28310714285714284</v>
      </c>
      <c r="I477" t="s">
        <v>6</v>
      </c>
      <c r="J477" s="8">
        <v>2155</v>
      </c>
    </row>
    <row r="478" spans="1:10" x14ac:dyDescent="0.3">
      <c r="A478" s="1">
        <v>45261</v>
      </c>
      <c r="B478">
        <v>2023</v>
      </c>
      <c r="C478" t="str">
        <f>TEXT(Transformed_Data\[[#This Row],[Date]],"mmm")</f>
        <v>Dec</v>
      </c>
      <c r="D478" s="8">
        <v>7833</v>
      </c>
      <c r="E478" s="8">
        <v>40146</v>
      </c>
      <c r="F478" s="8">
        <v>56000</v>
      </c>
      <c r="G478" s="8">
        <v>15854</v>
      </c>
      <c r="H478" s="2">
        <v>0.28310714285714284</v>
      </c>
      <c r="I478" t="s">
        <v>7</v>
      </c>
      <c r="J478" s="8">
        <v>5714</v>
      </c>
    </row>
    <row r="479" spans="1:10" x14ac:dyDescent="0.3">
      <c r="A479" s="1">
        <v>45261</v>
      </c>
      <c r="B479">
        <v>2023</v>
      </c>
      <c r="C479" t="str">
        <f>TEXT(Transformed_Data\[[#This Row],[Date]],"mmm")</f>
        <v>Dec</v>
      </c>
      <c r="D479" s="8">
        <v>7833</v>
      </c>
      <c r="E479" s="8">
        <v>40146</v>
      </c>
      <c r="F479" s="8">
        <v>56000</v>
      </c>
      <c r="G479" s="8">
        <v>15854</v>
      </c>
      <c r="H479" s="2">
        <v>0.28310714285714284</v>
      </c>
      <c r="I479" t="s">
        <v>9</v>
      </c>
      <c r="J479" s="8">
        <v>0</v>
      </c>
    </row>
    <row r="480" spans="1:10" x14ac:dyDescent="0.3">
      <c r="A480" s="1">
        <v>45261</v>
      </c>
      <c r="B480">
        <v>2023</v>
      </c>
      <c r="C480" t="str">
        <f>TEXT(Transformed_Data\[[#This Row],[Date]],"mmm")</f>
        <v>Dec</v>
      </c>
      <c r="D480" s="8">
        <v>7833</v>
      </c>
      <c r="E480" s="8">
        <v>40146</v>
      </c>
      <c r="F480" s="8">
        <v>56000</v>
      </c>
      <c r="G480" s="8">
        <v>15854</v>
      </c>
      <c r="H480" s="2">
        <v>0.28310714285714284</v>
      </c>
      <c r="I480" t="s">
        <v>10</v>
      </c>
      <c r="J480" s="8">
        <v>2629</v>
      </c>
    </row>
    <row r="481" spans="1:10" x14ac:dyDescent="0.3">
      <c r="A481" s="1">
        <v>45261</v>
      </c>
      <c r="B481">
        <v>2023</v>
      </c>
      <c r="C481" t="str">
        <f>TEXT(Transformed_Data\[[#This Row],[Date]],"mmm")</f>
        <v>Dec</v>
      </c>
      <c r="D481" s="8">
        <v>7833</v>
      </c>
      <c r="E481" s="8">
        <v>40146</v>
      </c>
      <c r="F481" s="8">
        <v>56000</v>
      </c>
      <c r="G481" s="8">
        <v>15854</v>
      </c>
      <c r="H481" s="2">
        <v>0.28310714285714284</v>
      </c>
      <c r="I481" t="s">
        <v>11</v>
      </c>
      <c r="J481" s="8">
        <v>2693</v>
      </c>
    </row>
    <row r="482" spans="1:10" x14ac:dyDescent="0.3">
      <c r="A482" s="1">
        <v>45292</v>
      </c>
      <c r="B482">
        <v>2024</v>
      </c>
      <c r="C482" t="str">
        <f>TEXT(Transformed_Data\[[#This Row],[Date]],"mmm")</f>
        <v>Jan</v>
      </c>
      <c r="D482" s="8">
        <v>9497</v>
      </c>
      <c r="E482" s="8">
        <v>48559</v>
      </c>
      <c r="F482" s="8">
        <v>56000</v>
      </c>
      <c r="G482" s="8">
        <v>7441</v>
      </c>
      <c r="H482" s="2">
        <v>0.13287499999999999</v>
      </c>
      <c r="I482" t="s">
        <v>1</v>
      </c>
      <c r="J482" s="8">
        <v>7810</v>
      </c>
    </row>
    <row r="483" spans="1:10" x14ac:dyDescent="0.3">
      <c r="A483" s="1">
        <v>45292</v>
      </c>
      <c r="B483">
        <v>2024</v>
      </c>
      <c r="C483" t="str">
        <f>TEXT(Transformed_Data\[[#This Row],[Date]],"mmm")</f>
        <v>Jan</v>
      </c>
      <c r="D483" s="8">
        <v>9497</v>
      </c>
      <c r="E483" s="8">
        <v>48559</v>
      </c>
      <c r="F483" s="8">
        <v>56000</v>
      </c>
      <c r="G483" s="8">
        <v>7441</v>
      </c>
      <c r="H483" s="2">
        <v>0.13287499999999999</v>
      </c>
      <c r="I483" t="s">
        <v>2</v>
      </c>
      <c r="J483" s="8">
        <v>13000</v>
      </c>
    </row>
    <row r="484" spans="1:10" x14ac:dyDescent="0.3">
      <c r="A484" s="1">
        <v>45292</v>
      </c>
      <c r="B484">
        <v>2024</v>
      </c>
      <c r="C484" t="str">
        <f>TEXT(Transformed_Data\[[#This Row],[Date]],"mmm")</f>
        <v>Jan</v>
      </c>
      <c r="D484" s="8">
        <v>9497</v>
      </c>
      <c r="E484" s="8">
        <v>48559</v>
      </c>
      <c r="F484" s="8">
        <v>56000</v>
      </c>
      <c r="G484" s="8">
        <v>7441</v>
      </c>
      <c r="H484" s="2">
        <v>0.13287499999999999</v>
      </c>
      <c r="I484" t="s">
        <v>3</v>
      </c>
      <c r="J484" s="8">
        <v>3474</v>
      </c>
    </row>
    <row r="485" spans="1:10" x14ac:dyDescent="0.3">
      <c r="A485" s="1">
        <v>45292</v>
      </c>
      <c r="B485">
        <v>2024</v>
      </c>
      <c r="C485" t="str">
        <f>TEXT(Transformed_Data\[[#This Row],[Date]],"mmm")</f>
        <v>Jan</v>
      </c>
      <c r="D485" s="8">
        <v>9497</v>
      </c>
      <c r="E485" s="8">
        <v>48559</v>
      </c>
      <c r="F485" s="8">
        <v>56000</v>
      </c>
      <c r="G485" s="8">
        <v>7441</v>
      </c>
      <c r="H485" s="2">
        <v>0.13287499999999999</v>
      </c>
      <c r="I485" t="s">
        <v>4</v>
      </c>
      <c r="J485" s="8">
        <v>1045</v>
      </c>
    </row>
    <row r="486" spans="1:10" x14ac:dyDescent="0.3">
      <c r="A486" s="1">
        <v>45292</v>
      </c>
      <c r="B486">
        <v>2024</v>
      </c>
      <c r="C486" t="str">
        <f>TEXT(Transformed_Data\[[#This Row],[Date]],"mmm")</f>
        <v>Jan</v>
      </c>
      <c r="D486" s="8">
        <v>9497</v>
      </c>
      <c r="E486" s="8">
        <v>48559</v>
      </c>
      <c r="F486" s="8">
        <v>56000</v>
      </c>
      <c r="G486" s="8">
        <v>7441</v>
      </c>
      <c r="H486" s="2">
        <v>0.13287499999999999</v>
      </c>
      <c r="I486" t="s">
        <v>5</v>
      </c>
      <c r="J486" s="8">
        <v>2240</v>
      </c>
    </row>
    <row r="487" spans="1:10" x14ac:dyDescent="0.3">
      <c r="A487" s="1">
        <v>45292</v>
      </c>
      <c r="B487">
        <v>2024</v>
      </c>
      <c r="C487" t="str">
        <f>TEXT(Transformed_Data\[[#This Row],[Date]],"mmm")</f>
        <v>Jan</v>
      </c>
      <c r="D487" s="8">
        <v>9497</v>
      </c>
      <c r="E487" s="8">
        <v>48559</v>
      </c>
      <c r="F487" s="8">
        <v>56000</v>
      </c>
      <c r="G487" s="8">
        <v>7441</v>
      </c>
      <c r="H487" s="2">
        <v>0.13287499999999999</v>
      </c>
      <c r="I487" t="s">
        <v>6</v>
      </c>
      <c r="J487" s="8">
        <v>2581</v>
      </c>
    </row>
    <row r="488" spans="1:10" x14ac:dyDescent="0.3">
      <c r="A488" s="1">
        <v>45292</v>
      </c>
      <c r="B488">
        <v>2024</v>
      </c>
      <c r="C488" t="str">
        <f>TEXT(Transformed_Data\[[#This Row],[Date]],"mmm")</f>
        <v>Jan</v>
      </c>
      <c r="D488" s="8">
        <v>9497</v>
      </c>
      <c r="E488" s="8">
        <v>48559</v>
      </c>
      <c r="F488" s="8">
        <v>56000</v>
      </c>
      <c r="G488" s="8">
        <v>7441</v>
      </c>
      <c r="H488" s="2">
        <v>0.13287499999999999</v>
      </c>
      <c r="I488" t="s">
        <v>7</v>
      </c>
      <c r="J488" s="8">
        <v>7940</v>
      </c>
    </row>
    <row r="489" spans="1:10" x14ac:dyDescent="0.3">
      <c r="A489" s="1">
        <v>45292</v>
      </c>
      <c r="B489">
        <v>2024</v>
      </c>
      <c r="C489" t="str">
        <f>TEXT(Transformed_Data\[[#This Row],[Date]],"mmm")</f>
        <v>Jan</v>
      </c>
      <c r="D489" s="8">
        <v>9497</v>
      </c>
      <c r="E489" s="8">
        <v>48559</v>
      </c>
      <c r="F489" s="8">
        <v>56000</v>
      </c>
      <c r="G489" s="8">
        <v>7441</v>
      </c>
      <c r="H489" s="2">
        <v>0.13287499999999999</v>
      </c>
      <c r="I489" t="s">
        <v>9</v>
      </c>
      <c r="J489" s="8">
        <v>6000</v>
      </c>
    </row>
    <row r="490" spans="1:10" x14ac:dyDescent="0.3">
      <c r="A490" s="1">
        <v>45292</v>
      </c>
      <c r="B490">
        <v>2024</v>
      </c>
      <c r="C490" t="str">
        <f>TEXT(Transformed_Data\[[#This Row],[Date]],"mmm")</f>
        <v>Jan</v>
      </c>
      <c r="D490" s="8">
        <v>9497</v>
      </c>
      <c r="E490" s="8">
        <v>48559</v>
      </c>
      <c r="F490" s="8">
        <v>56000</v>
      </c>
      <c r="G490" s="8">
        <v>7441</v>
      </c>
      <c r="H490" s="2">
        <v>0.13287499999999999</v>
      </c>
      <c r="I490" t="s">
        <v>10</v>
      </c>
      <c r="J490" s="8">
        <v>1616</v>
      </c>
    </row>
    <row r="491" spans="1:10" x14ac:dyDescent="0.3">
      <c r="A491" s="1">
        <v>45292</v>
      </c>
      <c r="B491">
        <v>2024</v>
      </c>
      <c r="C491" t="str">
        <f>TEXT(Transformed_Data\[[#This Row],[Date]],"mmm")</f>
        <v>Jan</v>
      </c>
      <c r="D491" s="8">
        <v>9497</v>
      </c>
      <c r="E491" s="8">
        <v>48559</v>
      </c>
      <c r="F491" s="8">
        <v>56000</v>
      </c>
      <c r="G491" s="8">
        <v>7441</v>
      </c>
      <c r="H491" s="2">
        <v>0.13287499999999999</v>
      </c>
      <c r="I491" t="s">
        <v>11</v>
      </c>
      <c r="J491" s="8">
        <v>2853</v>
      </c>
    </row>
    <row r="492" spans="1:10" x14ac:dyDescent="0.3">
      <c r="A492" s="1">
        <v>45323</v>
      </c>
      <c r="B492">
        <v>2024</v>
      </c>
      <c r="C492" t="str">
        <f>TEXT(Transformed_Data\[[#This Row],[Date]],"mmm")</f>
        <v>Feb</v>
      </c>
      <c r="D492" s="8">
        <v>6624</v>
      </c>
      <c r="E492" s="8">
        <v>44818</v>
      </c>
      <c r="F492" s="8">
        <v>56000</v>
      </c>
      <c r="G492" s="8">
        <v>11182</v>
      </c>
      <c r="H492" s="2">
        <v>0.19967857142857143</v>
      </c>
      <c r="I492" t="s">
        <v>1</v>
      </c>
      <c r="J492" s="8">
        <v>7012</v>
      </c>
    </row>
    <row r="493" spans="1:10" x14ac:dyDescent="0.3">
      <c r="A493" s="1">
        <v>45323</v>
      </c>
      <c r="B493">
        <v>2024</v>
      </c>
      <c r="C493" t="str">
        <f>TEXT(Transformed_Data\[[#This Row],[Date]],"mmm")</f>
        <v>Feb</v>
      </c>
      <c r="D493" s="8">
        <v>6624</v>
      </c>
      <c r="E493" s="8">
        <v>44818</v>
      </c>
      <c r="F493" s="8">
        <v>56000</v>
      </c>
      <c r="G493" s="8">
        <v>11182</v>
      </c>
      <c r="H493" s="2">
        <v>0.19967857142857143</v>
      </c>
      <c r="I493" t="s">
        <v>2</v>
      </c>
      <c r="J493" s="8">
        <v>13000</v>
      </c>
    </row>
    <row r="494" spans="1:10" x14ac:dyDescent="0.3">
      <c r="A494" s="1">
        <v>45323</v>
      </c>
      <c r="B494">
        <v>2024</v>
      </c>
      <c r="C494" t="str">
        <f>TEXT(Transformed_Data\[[#This Row],[Date]],"mmm")</f>
        <v>Feb</v>
      </c>
      <c r="D494" s="8">
        <v>6624</v>
      </c>
      <c r="E494" s="8">
        <v>44818</v>
      </c>
      <c r="F494" s="8">
        <v>56000</v>
      </c>
      <c r="G494" s="8">
        <v>11182</v>
      </c>
      <c r="H494" s="2">
        <v>0.19967857142857143</v>
      </c>
      <c r="I494" t="s">
        <v>3</v>
      </c>
      <c r="J494" s="8">
        <v>2133</v>
      </c>
    </row>
    <row r="495" spans="1:10" x14ac:dyDescent="0.3">
      <c r="A495" s="1">
        <v>45323</v>
      </c>
      <c r="B495">
        <v>2024</v>
      </c>
      <c r="C495" t="str">
        <f>TEXT(Transformed_Data\[[#This Row],[Date]],"mmm")</f>
        <v>Feb</v>
      </c>
      <c r="D495" s="8">
        <v>6624</v>
      </c>
      <c r="E495" s="8">
        <v>44818</v>
      </c>
      <c r="F495" s="8">
        <v>56000</v>
      </c>
      <c r="G495" s="8">
        <v>11182</v>
      </c>
      <c r="H495" s="2">
        <v>0.19967857142857143</v>
      </c>
      <c r="I495" t="s">
        <v>4</v>
      </c>
      <c r="J495" s="8">
        <v>700</v>
      </c>
    </row>
    <row r="496" spans="1:10" x14ac:dyDescent="0.3">
      <c r="A496" s="1">
        <v>45323</v>
      </c>
      <c r="B496">
        <v>2024</v>
      </c>
      <c r="C496" t="str">
        <f>TEXT(Transformed_Data\[[#This Row],[Date]],"mmm")</f>
        <v>Feb</v>
      </c>
      <c r="D496" s="8">
        <v>6624</v>
      </c>
      <c r="E496" s="8">
        <v>44818</v>
      </c>
      <c r="F496" s="8">
        <v>56000</v>
      </c>
      <c r="G496" s="8">
        <v>11182</v>
      </c>
      <c r="H496" s="2">
        <v>0.19967857142857143</v>
      </c>
      <c r="I496" t="s">
        <v>5</v>
      </c>
      <c r="J496" s="8">
        <v>2250</v>
      </c>
    </row>
    <row r="497" spans="1:10" x14ac:dyDescent="0.3">
      <c r="A497" s="1">
        <v>45323</v>
      </c>
      <c r="B497">
        <v>2024</v>
      </c>
      <c r="C497" t="str">
        <f>TEXT(Transformed_Data\[[#This Row],[Date]],"mmm")</f>
        <v>Feb</v>
      </c>
      <c r="D497" s="8">
        <v>6624</v>
      </c>
      <c r="E497" s="8">
        <v>44818</v>
      </c>
      <c r="F497" s="8">
        <v>56000</v>
      </c>
      <c r="G497" s="8">
        <v>11182</v>
      </c>
      <c r="H497" s="2">
        <v>0.19967857142857143</v>
      </c>
      <c r="I497" t="s">
        <v>6</v>
      </c>
      <c r="J497" s="8">
        <v>2581</v>
      </c>
    </row>
    <row r="498" spans="1:10" x14ac:dyDescent="0.3">
      <c r="A498" s="1">
        <v>45323</v>
      </c>
      <c r="B498">
        <v>2024</v>
      </c>
      <c r="C498" t="str">
        <f>TEXT(Transformed_Data\[[#This Row],[Date]],"mmm")</f>
        <v>Feb</v>
      </c>
      <c r="D498" s="8">
        <v>6624</v>
      </c>
      <c r="E498" s="8">
        <v>44818</v>
      </c>
      <c r="F498" s="8">
        <v>56000</v>
      </c>
      <c r="G498" s="8">
        <v>11182</v>
      </c>
      <c r="H498" s="2">
        <v>0.19967857142857143</v>
      </c>
      <c r="I498" t="s">
        <v>7</v>
      </c>
      <c r="J498" s="8">
        <v>5862</v>
      </c>
    </row>
    <row r="499" spans="1:10" x14ac:dyDescent="0.3">
      <c r="A499" s="1">
        <v>45323</v>
      </c>
      <c r="B499">
        <v>2024</v>
      </c>
      <c r="C499" t="str">
        <f>TEXT(Transformed_Data\[[#This Row],[Date]],"mmm")</f>
        <v>Feb</v>
      </c>
      <c r="D499" s="8">
        <v>6624</v>
      </c>
      <c r="E499" s="8">
        <v>44818</v>
      </c>
      <c r="F499" s="8">
        <v>56000</v>
      </c>
      <c r="G499" s="8">
        <v>11182</v>
      </c>
      <c r="H499" s="2">
        <v>0.19967857142857143</v>
      </c>
      <c r="I499" t="s">
        <v>9</v>
      </c>
      <c r="J499" s="8">
        <v>6000</v>
      </c>
    </row>
    <row r="500" spans="1:10" x14ac:dyDescent="0.3">
      <c r="A500" s="1">
        <v>45323</v>
      </c>
      <c r="B500">
        <v>2024</v>
      </c>
      <c r="C500" t="str">
        <f>TEXT(Transformed_Data\[[#This Row],[Date]],"mmm")</f>
        <v>Feb</v>
      </c>
      <c r="D500" s="8">
        <v>6624</v>
      </c>
      <c r="E500" s="8">
        <v>44818</v>
      </c>
      <c r="F500" s="8">
        <v>56000</v>
      </c>
      <c r="G500" s="8">
        <v>11182</v>
      </c>
      <c r="H500" s="2">
        <v>0.19967857142857143</v>
      </c>
      <c r="I500" t="s">
        <v>10</v>
      </c>
      <c r="J500" s="8">
        <v>2619</v>
      </c>
    </row>
    <row r="501" spans="1:10" x14ac:dyDescent="0.3">
      <c r="A501" s="1">
        <v>45323</v>
      </c>
      <c r="B501">
        <v>2024</v>
      </c>
      <c r="C501" t="str">
        <f>TEXT(Transformed_Data\[[#This Row],[Date]],"mmm")</f>
        <v>Feb</v>
      </c>
      <c r="D501" s="8">
        <v>6624</v>
      </c>
      <c r="E501" s="8">
        <v>44818</v>
      </c>
      <c r="F501" s="8">
        <v>56000</v>
      </c>
      <c r="G501" s="8">
        <v>11182</v>
      </c>
      <c r="H501" s="2">
        <v>0.19967857142857143</v>
      </c>
      <c r="I501" t="s">
        <v>11</v>
      </c>
      <c r="J501" s="8">
        <v>2661</v>
      </c>
    </row>
    <row r="502" spans="1:10" x14ac:dyDescent="0.3">
      <c r="A502" s="1">
        <v>45352</v>
      </c>
      <c r="B502">
        <v>2024</v>
      </c>
      <c r="C502" t="str">
        <f>TEXT(Transformed_Data\[[#This Row],[Date]],"mmm")</f>
        <v>Mar</v>
      </c>
      <c r="D502" s="8">
        <v>7949</v>
      </c>
      <c r="E502" s="8">
        <v>46654</v>
      </c>
      <c r="F502" s="8">
        <v>56000</v>
      </c>
      <c r="G502" s="8">
        <v>9346</v>
      </c>
      <c r="H502" s="2">
        <v>0.16689285714285715</v>
      </c>
      <c r="I502" t="s">
        <v>1</v>
      </c>
      <c r="J502" s="8">
        <v>6896</v>
      </c>
    </row>
    <row r="503" spans="1:10" x14ac:dyDescent="0.3">
      <c r="A503" s="1">
        <v>45352</v>
      </c>
      <c r="B503">
        <v>2024</v>
      </c>
      <c r="C503" t="str">
        <f>TEXT(Transformed_Data\[[#This Row],[Date]],"mmm")</f>
        <v>Mar</v>
      </c>
      <c r="D503" s="8">
        <v>7949</v>
      </c>
      <c r="E503" s="8">
        <v>46654</v>
      </c>
      <c r="F503" s="8">
        <v>56000</v>
      </c>
      <c r="G503" s="8">
        <v>9346</v>
      </c>
      <c r="H503" s="2">
        <v>0.16689285714285715</v>
      </c>
      <c r="I503" t="s">
        <v>2</v>
      </c>
      <c r="J503" s="8">
        <v>13000</v>
      </c>
    </row>
    <row r="504" spans="1:10" x14ac:dyDescent="0.3">
      <c r="A504" s="1">
        <v>45352</v>
      </c>
      <c r="B504">
        <v>2024</v>
      </c>
      <c r="C504" t="str">
        <f>TEXT(Transformed_Data\[[#This Row],[Date]],"mmm")</f>
        <v>Mar</v>
      </c>
      <c r="D504" s="8">
        <v>7949</v>
      </c>
      <c r="E504" s="8">
        <v>46654</v>
      </c>
      <c r="F504" s="8">
        <v>56000</v>
      </c>
      <c r="G504" s="8">
        <v>9346</v>
      </c>
      <c r="H504" s="2">
        <v>0.16689285714285715</v>
      </c>
      <c r="I504" t="s">
        <v>3</v>
      </c>
      <c r="J504" s="8">
        <v>2712</v>
      </c>
    </row>
    <row r="505" spans="1:10" x14ac:dyDescent="0.3">
      <c r="A505" s="1">
        <v>45352</v>
      </c>
      <c r="B505">
        <v>2024</v>
      </c>
      <c r="C505" t="str">
        <f>TEXT(Transformed_Data\[[#This Row],[Date]],"mmm")</f>
        <v>Mar</v>
      </c>
      <c r="D505" s="8">
        <v>7949</v>
      </c>
      <c r="E505" s="8">
        <v>46654</v>
      </c>
      <c r="F505" s="8">
        <v>56000</v>
      </c>
      <c r="G505" s="8">
        <v>9346</v>
      </c>
      <c r="H505" s="2">
        <v>0.16689285714285715</v>
      </c>
      <c r="I505" t="s">
        <v>4</v>
      </c>
      <c r="J505" s="8">
        <v>1186</v>
      </c>
    </row>
    <row r="506" spans="1:10" x14ac:dyDescent="0.3">
      <c r="A506" s="1">
        <v>45352</v>
      </c>
      <c r="B506">
        <v>2024</v>
      </c>
      <c r="C506" t="str">
        <f>TEXT(Transformed_Data\[[#This Row],[Date]],"mmm")</f>
        <v>Mar</v>
      </c>
      <c r="D506" s="8">
        <v>7949</v>
      </c>
      <c r="E506" s="8">
        <v>46654</v>
      </c>
      <c r="F506" s="8">
        <v>56000</v>
      </c>
      <c r="G506" s="8">
        <v>9346</v>
      </c>
      <c r="H506" s="2">
        <v>0.16689285714285715</v>
      </c>
      <c r="I506" t="s">
        <v>5</v>
      </c>
      <c r="J506" s="8">
        <v>2203</v>
      </c>
    </row>
    <row r="507" spans="1:10" x14ac:dyDescent="0.3">
      <c r="A507" s="1">
        <v>45352</v>
      </c>
      <c r="B507">
        <v>2024</v>
      </c>
      <c r="C507" t="str">
        <f>TEXT(Transformed_Data\[[#This Row],[Date]],"mmm")</f>
        <v>Mar</v>
      </c>
      <c r="D507" s="8">
        <v>7949</v>
      </c>
      <c r="E507" s="8">
        <v>46654</v>
      </c>
      <c r="F507" s="8">
        <v>56000</v>
      </c>
      <c r="G507" s="8">
        <v>9346</v>
      </c>
      <c r="H507" s="2">
        <v>0.16689285714285715</v>
      </c>
      <c r="I507" t="s">
        <v>6</v>
      </c>
      <c r="J507" s="8">
        <v>2795</v>
      </c>
    </row>
    <row r="508" spans="1:10" x14ac:dyDescent="0.3">
      <c r="A508" s="1">
        <v>45352</v>
      </c>
      <c r="B508">
        <v>2024</v>
      </c>
      <c r="C508" t="str">
        <f>TEXT(Transformed_Data\[[#This Row],[Date]],"mmm")</f>
        <v>Mar</v>
      </c>
      <c r="D508" s="8">
        <v>7949</v>
      </c>
      <c r="E508" s="8">
        <v>46654</v>
      </c>
      <c r="F508" s="8">
        <v>56000</v>
      </c>
      <c r="G508" s="8">
        <v>9346</v>
      </c>
      <c r="H508" s="2">
        <v>0.16689285714285715</v>
      </c>
      <c r="I508" t="s">
        <v>7</v>
      </c>
      <c r="J508" s="8">
        <v>7312</v>
      </c>
    </row>
    <row r="509" spans="1:10" x14ac:dyDescent="0.3">
      <c r="A509" s="1">
        <v>45352</v>
      </c>
      <c r="B509">
        <v>2024</v>
      </c>
      <c r="C509" t="str">
        <f>TEXT(Transformed_Data\[[#This Row],[Date]],"mmm")</f>
        <v>Mar</v>
      </c>
      <c r="D509" s="8">
        <v>7949</v>
      </c>
      <c r="E509" s="8">
        <v>46654</v>
      </c>
      <c r="F509" s="8">
        <v>56000</v>
      </c>
      <c r="G509" s="8">
        <v>9346</v>
      </c>
      <c r="H509" s="2">
        <v>0.16689285714285715</v>
      </c>
      <c r="I509" t="s">
        <v>9</v>
      </c>
      <c r="J509" s="8">
        <v>6000</v>
      </c>
    </row>
    <row r="510" spans="1:10" x14ac:dyDescent="0.3">
      <c r="A510" s="1">
        <v>45352</v>
      </c>
      <c r="B510">
        <v>2024</v>
      </c>
      <c r="C510" t="str">
        <f>TEXT(Transformed_Data\[[#This Row],[Date]],"mmm")</f>
        <v>Mar</v>
      </c>
      <c r="D510" s="8">
        <v>7949</v>
      </c>
      <c r="E510" s="8">
        <v>46654</v>
      </c>
      <c r="F510" s="8">
        <v>56000</v>
      </c>
      <c r="G510" s="8">
        <v>9346</v>
      </c>
      <c r="H510" s="2">
        <v>0.16689285714285715</v>
      </c>
      <c r="I510" t="s">
        <v>10</v>
      </c>
      <c r="J510" s="8">
        <v>2970</v>
      </c>
    </row>
    <row r="511" spans="1:10" x14ac:dyDescent="0.3">
      <c r="A511" s="1">
        <v>45352</v>
      </c>
      <c r="B511">
        <v>2024</v>
      </c>
      <c r="C511" t="str">
        <f>TEXT(Transformed_Data\[[#This Row],[Date]],"mmm")</f>
        <v>Mar</v>
      </c>
      <c r="D511" s="8">
        <v>7949</v>
      </c>
      <c r="E511" s="8">
        <v>46654</v>
      </c>
      <c r="F511" s="8">
        <v>56000</v>
      </c>
      <c r="G511" s="8">
        <v>9346</v>
      </c>
      <c r="H511" s="2">
        <v>0.16689285714285715</v>
      </c>
      <c r="I511" t="s">
        <v>11</v>
      </c>
      <c r="J511" s="8">
        <v>1580</v>
      </c>
    </row>
    <row r="512" spans="1:10" x14ac:dyDescent="0.3">
      <c r="A512" s="1">
        <v>45383</v>
      </c>
      <c r="B512">
        <v>2024</v>
      </c>
      <c r="C512" t="str">
        <f>TEXT(Transformed_Data\[[#This Row],[Date]],"mmm")</f>
        <v>Apr</v>
      </c>
      <c r="D512" s="8">
        <v>8393</v>
      </c>
      <c r="E512" s="8">
        <v>45124</v>
      </c>
      <c r="F512" s="8">
        <v>64000</v>
      </c>
      <c r="G512" s="8">
        <v>18876</v>
      </c>
      <c r="H512" s="2">
        <v>0.29493750000000002</v>
      </c>
      <c r="I512" t="s">
        <v>1</v>
      </c>
      <c r="J512" s="8">
        <v>6153</v>
      </c>
    </row>
    <row r="513" spans="1:10" x14ac:dyDescent="0.3">
      <c r="A513" s="1">
        <v>45383</v>
      </c>
      <c r="B513">
        <v>2024</v>
      </c>
      <c r="C513" t="str">
        <f>TEXT(Transformed_Data\[[#This Row],[Date]],"mmm")</f>
        <v>Apr</v>
      </c>
      <c r="D513" s="8">
        <v>8393</v>
      </c>
      <c r="E513" s="8">
        <v>45124</v>
      </c>
      <c r="F513" s="8">
        <v>64000</v>
      </c>
      <c r="G513" s="8">
        <v>18876</v>
      </c>
      <c r="H513" s="2">
        <v>0.29493750000000002</v>
      </c>
      <c r="I513" t="s">
        <v>2</v>
      </c>
      <c r="J513" s="8">
        <v>13000</v>
      </c>
    </row>
    <row r="514" spans="1:10" x14ac:dyDescent="0.3">
      <c r="A514" s="1">
        <v>45383</v>
      </c>
      <c r="B514">
        <v>2024</v>
      </c>
      <c r="C514" t="str">
        <f>TEXT(Transformed_Data\[[#This Row],[Date]],"mmm")</f>
        <v>Apr</v>
      </c>
      <c r="D514" s="8">
        <v>8393</v>
      </c>
      <c r="E514" s="8">
        <v>45124</v>
      </c>
      <c r="F514" s="8">
        <v>64000</v>
      </c>
      <c r="G514" s="8">
        <v>18876</v>
      </c>
      <c r="H514" s="2">
        <v>0.29493750000000002</v>
      </c>
      <c r="I514" t="s">
        <v>3</v>
      </c>
      <c r="J514" s="8">
        <v>2496</v>
      </c>
    </row>
    <row r="515" spans="1:10" x14ac:dyDescent="0.3">
      <c r="A515" s="1">
        <v>45383</v>
      </c>
      <c r="B515">
        <v>2024</v>
      </c>
      <c r="C515" t="str">
        <f>TEXT(Transformed_Data\[[#This Row],[Date]],"mmm")</f>
        <v>Apr</v>
      </c>
      <c r="D515" s="8">
        <v>8393</v>
      </c>
      <c r="E515" s="8">
        <v>45124</v>
      </c>
      <c r="F515" s="8">
        <v>64000</v>
      </c>
      <c r="G515" s="8">
        <v>18876</v>
      </c>
      <c r="H515" s="2">
        <v>0.29493750000000002</v>
      </c>
      <c r="I515" t="s">
        <v>4</v>
      </c>
      <c r="J515" s="8">
        <v>785</v>
      </c>
    </row>
    <row r="516" spans="1:10" x14ac:dyDescent="0.3">
      <c r="A516" s="1">
        <v>45383</v>
      </c>
      <c r="B516">
        <v>2024</v>
      </c>
      <c r="C516" t="str">
        <f>TEXT(Transformed_Data\[[#This Row],[Date]],"mmm")</f>
        <v>Apr</v>
      </c>
      <c r="D516" s="8">
        <v>8393</v>
      </c>
      <c r="E516" s="8">
        <v>45124</v>
      </c>
      <c r="F516" s="8">
        <v>64000</v>
      </c>
      <c r="G516" s="8">
        <v>18876</v>
      </c>
      <c r="H516" s="2">
        <v>0.29493750000000002</v>
      </c>
      <c r="I516" t="s">
        <v>5</v>
      </c>
      <c r="J516" s="8">
        <v>2196</v>
      </c>
    </row>
    <row r="517" spans="1:10" x14ac:dyDescent="0.3">
      <c r="A517" s="1">
        <v>45383</v>
      </c>
      <c r="B517">
        <v>2024</v>
      </c>
      <c r="C517" t="str">
        <f>TEXT(Transformed_Data\[[#This Row],[Date]],"mmm")</f>
        <v>Apr</v>
      </c>
      <c r="D517" s="8">
        <v>8393</v>
      </c>
      <c r="E517" s="8">
        <v>45124</v>
      </c>
      <c r="F517" s="8">
        <v>64000</v>
      </c>
      <c r="G517" s="8">
        <v>18876</v>
      </c>
      <c r="H517" s="2">
        <v>0.29493750000000002</v>
      </c>
      <c r="I517" t="s">
        <v>6</v>
      </c>
      <c r="J517" s="8">
        <v>2958</v>
      </c>
    </row>
    <row r="518" spans="1:10" x14ac:dyDescent="0.3">
      <c r="A518" s="1">
        <v>45383</v>
      </c>
      <c r="B518">
        <v>2024</v>
      </c>
      <c r="C518" t="str">
        <f>TEXT(Transformed_Data\[[#This Row],[Date]],"mmm")</f>
        <v>Apr</v>
      </c>
      <c r="D518" s="8">
        <v>8393</v>
      </c>
      <c r="E518" s="8">
        <v>45124</v>
      </c>
      <c r="F518" s="8">
        <v>64000</v>
      </c>
      <c r="G518" s="8">
        <v>18876</v>
      </c>
      <c r="H518" s="2">
        <v>0.29493750000000002</v>
      </c>
      <c r="I518" t="s">
        <v>7</v>
      </c>
      <c r="J518" s="8">
        <v>6701</v>
      </c>
    </row>
    <row r="519" spans="1:10" x14ac:dyDescent="0.3">
      <c r="A519" s="1">
        <v>45383</v>
      </c>
      <c r="B519">
        <v>2024</v>
      </c>
      <c r="C519" t="str">
        <f>TEXT(Transformed_Data\[[#This Row],[Date]],"mmm")</f>
        <v>Apr</v>
      </c>
      <c r="D519" s="8">
        <v>8393</v>
      </c>
      <c r="E519" s="8">
        <v>45124</v>
      </c>
      <c r="F519" s="8">
        <v>64000</v>
      </c>
      <c r="G519" s="8">
        <v>18876</v>
      </c>
      <c r="H519" s="2">
        <v>0.29493750000000002</v>
      </c>
      <c r="I519" t="s">
        <v>9</v>
      </c>
      <c r="J519" s="8">
        <v>6000</v>
      </c>
    </row>
    <row r="520" spans="1:10" x14ac:dyDescent="0.3">
      <c r="A520" s="1">
        <v>45383</v>
      </c>
      <c r="B520">
        <v>2024</v>
      </c>
      <c r="C520" t="str">
        <f>TEXT(Transformed_Data\[[#This Row],[Date]],"mmm")</f>
        <v>Apr</v>
      </c>
      <c r="D520" s="8">
        <v>8393</v>
      </c>
      <c r="E520" s="8">
        <v>45124</v>
      </c>
      <c r="F520" s="8">
        <v>64000</v>
      </c>
      <c r="G520" s="8">
        <v>18876</v>
      </c>
      <c r="H520" s="2">
        <v>0.29493750000000002</v>
      </c>
      <c r="I520" t="s">
        <v>10</v>
      </c>
      <c r="J520" s="8">
        <v>2743</v>
      </c>
    </row>
    <row r="521" spans="1:10" x14ac:dyDescent="0.3">
      <c r="A521" s="1">
        <v>45383</v>
      </c>
      <c r="B521">
        <v>2024</v>
      </c>
      <c r="C521" t="str">
        <f>TEXT(Transformed_Data\[[#This Row],[Date]],"mmm")</f>
        <v>Apr</v>
      </c>
      <c r="D521" s="8">
        <v>8393</v>
      </c>
      <c r="E521" s="8">
        <v>45124</v>
      </c>
      <c r="F521" s="8">
        <v>64000</v>
      </c>
      <c r="G521" s="8">
        <v>18876</v>
      </c>
      <c r="H521" s="2">
        <v>0.29493750000000002</v>
      </c>
      <c r="I521" t="s">
        <v>11</v>
      </c>
      <c r="J521" s="8">
        <v>2092</v>
      </c>
    </row>
    <row r="522" spans="1:10" x14ac:dyDescent="0.3">
      <c r="A522" s="1">
        <v>45413</v>
      </c>
      <c r="B522">
        <v>2024</v>
      </c>
      <c r="C522" t="str">
        <f>TEXT(Transformed_Data\[[#This Row],[Date]],"mmm")</f>
        <v>May</v>
      </c>
      <c r="D522" s="8">
        <v>9430</v>
      </c>
      <c r="E522" s="8">
        <v>46945</v>
      </c>
      <c r="F522" s="8">
        <v>64000</v>
      </c>
      <c r="G522" s="8">
        <v>17055</v>
      </c>
      <c r="H522" s="2">
        <v>0.266484375</v>
      </c>
      <c r="I522" t="s">
        <v>1</v>
      </c>
      <c r="J522" s="8">
        <v>6957</v>
      </c>
    </row>
    <row r="523" spans="1:10" x14ac:dyDescent="0.3">
      <c r="A523" s="1">
        <v>45413</v>
      </c>
      <c r="B523">
        <v>2024</v>
      </c>
      <c r="C523" t="str">
        <f>TEXT(Transformed_Data\[[#This Row],[Date]],"mmm")</f>
        <v>May</v>
      </c>
      <c r="D523" s="8">
        <v>9430</v>
      </c>
      <c r="E523" s="8">
        <v>46945</v>
      </c>
      <c r="F523" s="8">
        <v>64000</v>
      </c>
      <c r="G523" s="8">
        <v>17055</v>
      </c>
      <c r="H523" s="2">
        <v>0.266484375</v>
      </c>
      <c r="I523" t="s">
        <v>2</v>
      </c>
      <c r="J523" s="8">
        <v>13000</v>
      </c>
    </row>
    <row r="524" spans="1:10" x14ac:dyDescent="0.3">
      <c r="A524" s="1">
        <v>45413</v>
      </c>
      <c r="B524">
        <v>2024</v>
      </c>
      <c r="C524" t="str">
        <f>TEXT(Transformed_Data\[[#This Row],[Date]],"mmm")</f>
        <v>May</v>
      </c>
      <c r="D524" s="8">
        <v>9430</v>
      </c>
      <c r="E524" s="8">
        <v>46945</v>
      </c>
      <c r="F524" s="8">
        <v>64000</v>
      </c>
      <c r="G524" s="8">
        <v>17055</v>
      </c>
      <c r="H524" s="2">
        <v>0.266484375</v>
      </c>
      <c r="I524" t="s">
        <v>3</v>
      </c>
      <c r="J524" s="8">
        <v>1952</v>
      </c>
    </row>
    <row r="525" spans="1:10" x14ac:dyDescent="0.3">
      <c r="A525" s="1">
        <v>45413</v>
      </c>
      <c r="B525">
        <v>2024</v>
      </c>
      <c r="C525" t="str">
        <f>TEXT(Transformed_Data\[[#This Row],[Date]],"mmm")</f>
        <v>May</v>
      </c>
      <c r="D525" s="8">
        <v>9430</v>
      </c>
      <c r="E525" s="8">
        <v>46945</v>
      </c>
      <c r="F525" s="8">
        <v>64000</v>
      </c>
      <c r="G525" s="8">
        <v>17055</v>
      </c>
      <c r="H525" s="2">
        <v>0.266484375</v>
      </c>
      <c r="I525" t="s">
        <v>4</v>
      </c>
      <c r="J525" s="8">
        <v>903</v>
      </c>
    </row>
    <row r="526" spans="1:10" x14ac:dyDescent="0.3">
      <c r="A526" s="1">
        <v>45413</v>
      </c>
      <c r="B526">
        <v>2024</v>
      </c>
      <c r="C526" t="str">
        <f>TEXT(Transformed_Data\[[#This Row],[Date]],"mmm")</f>
        <v>May</v>
      </c>
      <c r="D526" s="8">
        <v>9430</v>
      </c>
      <c r="E526" s="8">
        <v>46945</v>
      </c>
      <c r="F526" s="8">
        <v>64000</v>
      </c>
      <c r="G526" s="8">
        <v>17055</v>
      </c>
      <c r="H526" s="2">
        <v>0.266484375</v>
      </c>
      <c r="I526" t="s">
        <v>5</v>
      </c>
      <c r="J526" s="8">
        <v>2411</v>
      </c>
    </row>
    <row r="527" spans="1:10" x14ac:dyDescent="0.3">
      <c r="A527" s="1">
        <v>45413</v>
      </c>
      <c r="B527">
        <v>2024</v>
      </c>
      <c r="C527" t="str">
        <f>TEXT(Transformed_Data\[[#This Row],[Date]],"mmm")</f>
        <v>May</v>
      </c>
      <c r="D527" s="8">
        <v>9430</v>
      </c>
      <c r="E527" s="8">
        <v>46945</v>
      </c>
      <c r="F527" s="8">
        <v>64000</v>
      </c>
      <c r="G527" s="8">
        <v>17055</v>
      </c>
      <c r="H527" s="2">
        <v>0.266484375</v>
      </c>
      <c r="I527" t="s">
        <v>6</v>
      </c>
      <c r="J527" s="8">
        <v>2511</v>
      </c>
    </row>
    <row r="528" spans="1:10" x14ac:dyDescent="0.3">
      <c r="A528" s="1">
        <v>45413</v>
      </c>
      <c r="B528">
        <v>2024</v>
      </c>
      <c r="C528" t="str">
        <f>TEXT(Transformed_Data\[[#This Row],[Date]],"mmm")</f>
        <v>May</v>
      </c>
      <c r="D528" s="8">
        <v>9430</v>
      </c>
      <c r="E528" s="8">
        <v>46945</v>
      </c>
      <c r="F528" s="8">
        <v>64000</v>
      </c>
      <c r="G528" s="8">
        <v>17055</v>
      </c>
      <c r="H528" s="2">
        <v>0.266484375</v>
      </c>
      <c r="I528" t="s">
        <v>7</v>
      </c>
      <c r="J528" s="8">
        <v>7973</v>
      </c>
    </row>
    <row r="529" spans="1:10" x14ac:dyDescent="0.3">
      <c r="A529" s="1">
        <v>45413</v>
      </c>
      <c r="B529">
        <v>2024</v>
      </c>
      <c r="C529" t="str">
        <f>TEXT(Transformed_Data\[[#This Row],[Date]],"mmm")</f>
        <v>May</v>
      </c>
      <c r="D529" s="8">
        <v>9430</v>
      </c>
      <c r="E529" s="8">
        <v>46945</v>
      </c>
      <c r="F529" s="8">
        <v>64000</v>
      </c>
      <c r="G529" s="8">
        <v>17055</v>
      </c>
      <c r="H529" s="2">
        <v>0.266484375</v>
      </c>
      <c r="I529" t="s">
        <v>9</v>
      </c>
      <c r="J529" s="8">
        <v>6000</v>
      </c>
    </row>
    <row r="530" spans="1:10" x14ac:dyDescent="0.3">
      <c r="A530" s="1">
        <v>45413</v>
      </c>
      <c r="B530">
        <v>2024</v>
      </c>
      <c r="C530" t="str">
        <f>TEXT(Transformed_Data\[[#This Row],[Date]],"mmm")</f>
        <v>May</v>
      </c>
      <c r="D530" s="8">
        <v>9430</v>
      </c>
      <c r="E530" s="8">
        <v>46945</v>
      </c>
      <c r="F530" s="8">
        <v>64000</v>
      </c>
      <c r="G530" s="8">
        <v>17055</v>
      </c>
      <c r="H530" s="2">
        <v>0.266484375</v>
      </c>
      <c r="I530" t="s">
        <v>10</v>
      </c>
      <c r="J530" s="8">
        <v>3765</v>
      </c>
    </row>
    <row r="531" spans="1:10" x14ac:dyDescent="0.3">
      <c r="A531" s="1">
        <v>45413</v>
      </c>
      <c r="B531">
        <v>2024</v>
      </c>
      <c r="C531" t="str">
        <f>TEXT(Transformed_Data\[[#This Row],[Date]],"mmm")</f>
        <v>May</v>
      </c>
      <c r="D531" s="8">
        <v>9430</v>
      </c>
      <c r="E531" s="8">
        <v>46945</v>
      </c>
      <c r="F531" s="8">
        <v>64000</v>
      </c>
      <c r="G531" s="8">
        <v>17055</v>
      </c>
      <c r="H531" s="2">
        <v>0.266484375</v>
      </c>
      <c r="I531" t="s">
        <v>11</v>
      </c>
      <c r="J531" s="8">
        <v>1473</v>
      </c>
    </row>
    <row r="532" spans="1:10" x14ac:dyDescent="0.3">
      <c r="A532" s="1">
        <v>45444</v>
      </c>
      <c r="B532">
        <v>2024</v>
      </c>
      <c r="C532" t="str">
        <f>TEXT(Transformed_Data\[[#This Row],[Date]],"mmm")</f>
        <v>Jun</v>
      </c>
      <c r="D532" s="8">
        <v>12074</v>
      </c>
      <c r="E532" s="8">
        <v>49167</v>
      </c>
      <c r="F532" s="8">
        <v>64000</v>
      </c>
      <c r="G532" s="8">
        <v>14833</v>
      </c>
      <c r="H532" s="2">
        <v>0.231765625</v>
      </c>
      <c r="I532" t="s">
        <v>1</v>
      </c>
      <c r="J532" s="8">
        <v>7312</v>
      </c>
    </row>
    <row r="533" spans="1:10" x14ac:dyDescent="0.3">
      <c r="A533" s="1">
        <v>45444</v>
      </c>
      <c r="B533">
        <v>2024</v>
      </c>
      <c r="C533" t="str">
        <f>TEXT(Transformed_Data\[[#This Row],[Date]],"mmm")</f>
        <v>Jun</v>
      </c>
      <c r="D533" s="8">
        <v>12074</v>
      </c>
      <c r="E533" s="8">
        <v>49167</v>
      </c>
      <c r="F533" s="8">
        <v>64000</v>
      </c>
      <c r="G533" s="8">
        <v>14833</v>
      </c>
      <c r="H533" s="2">
        <v>0.231765625</v>
      </c>
      <c r="I533" t="s">
        <v>2</v>
      </c>
      <c r="J533" s="8">
        <v>13000</v>
      </c>
    </row>
    <row r="534" spans="1:10" x14ac:dyDescent="0.3">
      <c r="A534" s="1">
        <v>45444</v>
      </c>
      <c r="B534">
        <v>2024</v>
      </c>
      <c r="C534" t="str">
        <f>TEXT(Transformed_Data\[[#This Row],[Date]],"mmm")</f>
        <v>Jun</v>
      </c>
      <c r="D534" s="8">
        <v>12074</v>
      </c>
      <c r="E534" s="8">
        <v>49167</v>
      </c>
      <c r="F534" s="8">
        <v>64000</v>
      </c>
      <c r="G534" s="8">
        <v>14833</v>
      </c>
      <c r="H534" s="2">
        <v>0.231765625</v>
      </c>
      <c r="I534" t="s">
        <v>3</v>
      </c>
      <c r="J534" s="8">
        <v>3257</v>
      </c>
    </row>
    <row r="535" spans="1:10" x14ac:dyDescent="0.3">
      <c r="A535" s="1">
        <v>45444</v>
      </c>
      <c r="B535">
        <v>2024</v>
      </c>
      <c r="C535" t="str">
        <f>TEXT(Transformed_Data\[[#This Row],[Date]],"mmm")</f>
        <v>Jun</v>
      </c>
      <c r="D535" s="8">
        <v>12074</v>
      </c>
      <c r="E535" s="8">
        <v>49167</v>
      </c>
      <c r="F535" s="8">
        <v>64000</v>
      </c>
      <c r="G535" s="8">
        <v>14833</v>
      </c>
      <c r="H535" s="2">
        <v>0.231765625</v>
      </c>
      <c r="I535" t="s">
        <v>4</v>
      </c>
      <c r="J535" s="8">
        <v>1056</v>
      </c>
    </row>
    <row r="536" spans="1:10" x14ac:dyDescent="0.3">
      <c r="A536" s="1">
        <v>45444</v>
      </c>
      <c r="B536">
        <v>2024</v>
      </c>
      <c r="C536" t="str">
        <f>TEXT(Transformed_Data\[[#This Row],[Date]],"mmm")</f>
        <v>Jun</v>
      </c>
      <c r="D536" s="8">
        <v>12074</v>
      </c>
      <c r="E536" s="8">
        <v>49167</v>
      </c>
      <c r="F536" s="8">
        <v>64000</v>
      </c>
      <c r="G536" s="8">
        <v>14833</v>
      </c>
      <c r="H536" s="2">
        <v>0.231765625</v>
      </c>
      <c r="I536" t="s">
        <v>5</v>
      </c>
      <c r="J536" s="8">
        <v>1522</v>
      </c>
    </row>
    <row r="537" spans="1:10" x14ac:dyDescent="0.3">
      <c r="A537" s="1">
        <v>45444</v>
      </c>
      <c r="B537">
        <v>2024</v>
      </c>
      <c r="C537" t="str">
        <f>TEXT(Transformed_Data\[[#This Row],[Date]],"mmm")</f>
        <v>Jun</v>
      </c>
      <c r="D537" s="8">
        <v>12074</v>
      </c>
      <c r="E537" s="8">
        <v>49167</v>
      </c>
      <c r="F537" s="8">
        <v>64000</v>
      </c>
      <c r="G537" s="8">
        <v>14833</v>
      </c>
      <c r="H537" s="2">
        <v>0.231765625</v>
      </c>
      <c r="I537" t="s">
        <v>6</v>
      </c>
      <c r="J537" s="8">
        <v>2777</v>
      </c>
    </row>
    <row r="538" spans="1:10" x14ac:dyDescent="0.3">
      <c r="A538" s="1">
        <v>45444</v>
      </c>
      <c r="B538">
        <v>2024</v>
      </c>
      <c r="C538" t="str">
        <f>TEXT(Transformed_Data\[[#This Row],[Date]],"mmm")</f>
        <v>Jun</v>
      </c>
      <c r="D538" s="8">
        <v>12074</v>
      </c>
      <c r="E538" s="8">
        <v>49167</v>
      </c>
      <c r="F538" s="8">
        <v>64000</v>
      </c>
      <c r="G538" s="8">
        <v>14833</v>
      </c>
      <c r="H538" s="2">
        <v>0.231765625</v>
      </c>
      <c r="I538" t="s">
        <v>7</v>
      </c>
      <c r="J538" s="8">
        <v>9437</v>
      </c>
    </row>
    <row r="539" spans="1:10" x14ac:dyDescent="0.3">
      <c r="A539" s="1">
        <v>45444</v>
      </c>
      <c r="B539">
        <v>2024</v>
      </c>
      <c r="C539" t="str">
        <f>TEXT(Transformed_Data\[[#This Row],[Date]],"mmm")</f>
        <v>Jun</v>
      </c>
      <c r="D539" s="8">
        <v>12074</v>
      </c>
      <c r="E539" s="8">
        <v>49167</v>
      </c>
      <c r="F539" s="8">
        <v>64000</v>
      </c>
      <c r="G539" s="8">
        <v>14833</v>
      </c>
      <c r="H539" s="2">
        <v>0.231765625</v>
      </c>
      <c r="I539" t="s">
        <v>9</v>
      </c>
      <c r="J539" s="8">
        <v>6000</v>
      </c>
    </row>
    <row r="540" spans="1:10" x14ac:dyDescent="0.3">
      <c r="A540" s="1">
        <v>45444</v>
      </c>
      <c r="B540">
        <v>2024</v>
      </c>
      <c r="C540" t="str">
        <f>TEXT(Transformed_Data\[[#This Row],[Date]],"mmm")</f>
        <v>Jun</v>
      </c>
      <c r="D540" s="8">
        <v>12074</v>
      </c>
      <c r="E540" s="8">
        <v>49167</v>
      </c>
      <c r="F540" s="8">
        <v>64000</v>
      </c>
      <c r="G540" s="8">
        <v>14833</v>
      </c>
      <c r="H540" s="2">
        <v>0.231765625</v>
      </c>
      <c r="I540" t="s">
        <v>10</v>
      </c>
      <c r="J540" s="8">
        <v>3285</v>
      </c>
    </row>
    <row r="541" spans="1:10" x14ac:dyDescent="0.3">
      <c r="A541" s="1">
        <v>45444</v>
      </c>
      <c r="B541">
        <v>2024</v>
      </c>
      <c r="C541" t="str">
        <f>TEXT(Transformed_Data\[[#This Row],[Date]],"mmm")</f>
        <v>Jun</v>
      </c>
      <c r="D541" s="8">
        <v>12074</v>
      </c>
      <c r="E541" s="8">
        <v>49167</v>
      </c>
      <c r="F541" s="8">
        <v>64000</v>
      </c>
      <c r="G541" s="8">
        <v>14833</v>
      </c>
      <c r="H541" s="2">
        <v>0.231765625</v>
      </c>
      <c r="I541" t="s">
        <v>11</v>
      </c>
      <c r="J541" s="8">
        <v>1521</v>
      </c>
    </row>
    <row r="542" spans="1:10" x14ac:dyDescent="0.3">
      <c r="A542" s="1">
        <v>45474</v>
      </c>
      <c r="B542">
        <v>2024</v>
      </c>
      <c r="C542" t="str">
        <f>TEXT(Transformed_Data\[[#This Row],[Date]],"mmm")</f>
        <v>Jul</v>
      </c>
      <c r="D542" s="8">
        <v>10511</v>
      </c>
      <c r="E542" s="8">
        <v>46340</v>
      </c>
      <c r="F542" s="8">
        <v>64000</v>
      </c>
      <c r="G542" s="8">
        <v>17660</v>
      </c>
      <c r="H542" s="2">
        <v>0.2759375</v>
      </c>
      <c r="I542" t="s">
        <v>1</v>
      </c>
      <c r="J542" s="8">
        <v>8809</v>
      </c>
    </row>
    <row r="543" spans="1:10" x14ac:dyDescent="0.3">
      <c r="A543" s="1">
        <v>45474</v>
      </c>
      <c r="B543">
        <v>2024</v>
      </c>
      <c r="C543" t="str">
        <f>TEXT(Transformed_Data\[[#This Row],[Date]],"mmm")</f>
        <v>Jul</v>
      </c>
      <c r="D543" s="8">
        <v>10511</v>
      </c>
      <c r="E543" s="8">
        <v>46340</v>
      </c>
      <c r="F543" s="8">
        <v>64000</v>
      </c>
      <c r="G543" s="8">
        <v>17660</v>
      </c>
      <c r="H543" s="2">
        <v>0.2759375</v>
      </c>
      <c r="I543" t="s">
        <v>2</v>
      </c>
      <c r="J543" s="8">
        <v>13000</v>
      </c>
    </row>
    <row r="544" spans="1:10" x14ac:dyDescent="0.3">
      <c r="A544" s="1">
        <v>45474</v>
      </c>
      <c r="B544">
        <v>2024</v>
      </c>
      <c r="C544" t="str">
        <f>TEXT(Transformed_Data\[[#This Row],[Date]],"mmm")</f>
        <v>Jul</v>
      </c>
      <c r="D544" s="8">
        <v>10511</v>
      </c>
      <c r="E544" s="8">
        <v>46340</v>
      </c>
      <c r="F544" s="8">
        <v>64000</v>
      </c>
      <c r="G544" s="8">
        <v>17660</v>
      </c>
      <c r="H544" s="2">
        <v>0.2759375</v>
      </c>
      <c r="I544" t="s">
        <v>3</v>
      </c>
      <c r="J544" s="8">
        <v>3131</v>
      </c>
    </row>
    <row r="545" spans="1:10" x14ac:dyDescent="0.3">
      <c r="A545" s="1">
        <v>45474</v>
      </c>
      <c r="B545">
        <v>2024</v>
      </c>
      <c r="C545" t="str">
        <f>TEXT(Transformed_Data\[[#This Row],[Date]],"mmm")</f>
        <v>Jul</v>
      </c>
      <c r="D545" s="8">
        <v>10511</v>
      </c>
      <c r="E545" s="8">
        <v>46340</v>
      </c>
      <c r="F545" s="8">
        <v>64000</v>
      </c>
      <c r="G545" s="8">
        <v>17660</v>
      </c>
      <c r="H545" s="2">
        <v>0.2759375</v>
      </c>
      <c r="I545" t="s">
        <v>4</v>
      </c>
      <c r="J545" s="8">
        <v>956</v>
      </c>
    </row>
    <row r="546" spans="1:10" x14ac:dyDescent="0.3">
      <c r="A546" s="1">
        <v>45474</v>
      </c>
      <c r="B546">
        <v>2024</v>
      </c>
      <c r="C546" t="str">
        <f>TEXT(Transformed_Data\[[#This Row],[Date]],"mmm")</f>
        <v>Jul</v>
      </c>
      <c r="D546" s="8">
        <v>10511</v>
      </c>
      <c r="E546" s="8">
        <v>46340</v>
      </c>
      <c r="F546" s="8">
        <v>64000</v>
      </c>
      <c r="G546" s="8">
        <v>17660</v>
      </c>
      <c r="H546" s="2">
        <v>0.2759375</v>
      </c>
      <c r="I546" t="s">
        <v>5</v>
      </c>
      <c r="J546" s="8">
        <v>1824</v>
      </c>
    </row>
    <row r="547" spans="1:10" x14ac:dyDescent="0.3">
      <c r="A547" s="1">
        <v>45474</v>
      </c>
      <c r="B547">
        <v>2024</v>
      </c>
      <c r="C547" t="str">
        <f>TEXT(Transformed_Data\[[#This Row],[Date]],"mmm")</f>
        <v>Jul</v>
      </c>
      <c r="D547" s="8">
        <v>10511</v>
      </c>
      <c r="E547" s="8">
        <v>46340</v>
      </c>
      <c r="F547" s="8">
        <v>64000</v>
      </c>
      <c r="G547" s="8">
        <v>17660</v>
      </c>
      <c r="H547" s="2">
        <v>0.2759375</v>
      </c>
      <c r="I547" t="s">
        <v>6</v>
      </c>
      <c r="J547" s="8">
        <v>1941</v>
      </c>
    </row>
    <row r="548" spans="1:10" x14ac:dyDescent="0.3">
      <c r="A548" s="1">
        <v>45474</v>
      </c>
      <c r="B548">
        <v>2024</v>
      </c>
      <c r="C548" t="str">
        <f>TEXT(Transformed_Data\[[#This Row],[Date]],"mmm")</f>
        <v>Jul</v>
      </c>
      <c r="D548" s="8">
        <v>10511</v>
      </c>
      <c r="E548" s="8">
        <v>46340</v>
      </c>
      <c r="F548" s="8">
        <v>64000</v>
      </c>
      <c r="G548" s="8">
        <v>17660</v>
      </c>
      <c r="H548" s="2">
        <v>0.2759375</v>
      </c>
      <c r="I548" t="s">
        <v>7</v>
      </c>
      <c r="J548" s="8">
        <v>6625</v>
      </c>
    </row>
    <row r="549" spans="1:10" x14ac:dyDescent="0.3">
      <c r="A549" s="1">
        <v>45474</v>
      </c>
      <c r="B549">
        <v>2024</v>
      </c>
      <c r="C549" t="str">
        <f>TEXT(Transformed_Data\[[#This Row],[Date]],"mmm")</f>
        <v>Jul</v>
      </c>
      <c r="D549" s="8">
        <v>10511</v>
      </c>
      <c r="E549" s="8">
        <v>46340</v>
      </c>
      <c r="F549" s="8">
        <v>64000</v>
      </c>
      <c r="G549" s="8">
        <v>17660</v>
      </c>
      <c r="H549" s="2">
        <v>0.2759375</v>
      </c>
      <c r="I549" t="s">
        <v>9</v>
      </c>
      <c r="J549" s="8">
        <v>6000</v>
      </c>
    </row>
    <row r="550" spans="1:10" x14ac:dyDescent="0.3">
      <c r="A550" s="1">
        <v>45474</v>
      </c>
      <c r="B550">
        <v>2024</v>
      </c>
      <c r="C550" t="str">
        <f>TEXT(Transformed_Data\[[#This Row],[Date]],"mmm")</f>
        <v>Jul</v>
      </c>
      <c r="D550" s="8">
        <v>10511</v>
      </c>
      <c r="E550" s="8">
        <v>46340</v>
      </c>
      <c r="F550" s="8">
        <v>64000</v>
      </c>
      <c r="G550" s="8">
        <v>17660</v>
      </c>
      <c r="H550" s="2">
        <v>0.2759375</v>
      </c>
      <c r="I550" t="s">
        <v>10</v>
      </c>
      <c r="J550" s="8">
        <v>2015</v>
      </c>
    </row>
    <row r="551" spans="1:10" x14ac:dyDescent="0.3">
      <c r="A551" s="1">
        <v>45474</v>
      </c>
      <c r="B551">
        <v>2024</v>
      </c>
      <c r="C551" t="str">
        <f>TEXT(Transformed_Data\[[#This Row],[Date]],"mmm")</f>
        <v>Jul</v>
      </c>
      <c r="D551" s="8">
        <v>10511</v>
      </c>
      <c r="E551" s="8">
        <v>46340</v>
      </c>
      <c r="F551" s="8">
        <v>64000</v>
      </c>
      <c r="G551" s="8">
        <v>17660</v>
      </c>
      <c r="H551" s="2">
        <v>0.2759375</v>
      </c>
      <c r="I551" t="s">
        <v>11</v>
      </c>
      <c r="J551" s="8">
        <v>2039</v>
      </c>
    </row>
    <row r="552" spans="1:10" x14ac:dyDescent="0.3">
      <c r="A552" s="1">
        <v>45505</v>
      </c>
      <c r="B552">
        <v>2024</v>
      </c>
      <c r="C552" t="str">
        <f>TEXT(Transformed_Data\[[#This Row],[Date]],"mmm")</f>
        <v>Aug</v>
      </c>
      <c r="D552" s="8">
        <v>10517</v>
      </c>
      <c r="E552" s="8">
        <v>46835</v>
      </c>
      <c r="F552" s="8">
        <v>64000</v>
      </c>
      <c r="G552" s="8">
        <v>17165</v>
      </c>
      <c r="H552" s="2">
        <v>0.26820312499999999</v>
      </c>
      <c r="I552" t="s">
        <v>1</v>
      </c>
      <c r="J552" s="8">
        <v>6496</v>
      </c>
    </row>
    <row r="553" spans="1:10" x14ac:dyDescent="0.3">
      <c r="A553" s="1">
        <v>45505</v>
      </c>
      <c r="B553">
        <v>2024</v>
      </c>
      <c r="C553" t="str">
        <f>TEXT(Transformed_Data\[[#This Row],[Date]],"mmm")</f>
        <v>Aug</v>
      </c>
      <c r="D553" s="8">
        <v>10517</v>
      </c>
      <c r="E553" s="8">
        <v>46835</v>
      </c>
      <c r="F553" s="8">
        <v>64000</v>
      </c>
      <c r="G553" s="8">
        <v>17165</v>
      </c>
      <c r="H553" s="2">
        <v>0.26820312499999999</v>
      </c>
      <c r="I553" t="s">
        <v>2</v>
      </c>
      <c r="J553" s="8">
        <v>13000</v>
      </c>
    </row>
    <row r="554" spans="1:10" x14ac:dyDescent="0.3">
      <c r="A554" s="1">
        <v>45505</v>
      </c>
      <c r="B554">
        <v>2024</v>
      </c>
      <c r="C554" t="str">
        <f>TEXT(Transformed_Data\[[#This Row],[Date]],"mmm")</f>
        <v>Aug</v>
      </c>
      <c r="D554" s="8">
        <v>10517</v>
      </c>
      <c r="E554" s="8">
        <v>46835</v>
      </c>
      <c r="F554" s="8">
        <v>64000</v>
      </c>
      <c r="G554" s="8">
        <v>17165</v>
      </c>
      <c r="H554" s="2">
        <v>0.26820312499999999</v>
      </c>
      <c r="I554" t="s">
        <v>3</v>
      </c>
      <c r="J554" s="8">
        <v>1659</v>
      </c>
    </row>
    <row r="555" spans="1:10" x14ac:dyDescent="0.3">
      <c r="A555" s="1">
        <v>45505</v>
      </c>
      <c r="B555">
        <v>2024</v>
      </c>
      <c r="C555" t="str">
        <f>TEXT(Transformed_Data\[[#This Row],[Date]],"mmm")</f>
        <v>Aug</v>
      </c>
      <c r="D555" s="8">
        <v>10517</v>
      </c>
      <c r="E555" s="8">
        <v>46835</v>
      </c>
      <c r="F555" s="8">
        <v>64000</v>
      </c>
      <c r="G555" s="8">
        <v>17165</v>
      </c>
      <c r="H555" s="2">
        <v>0.26820312499999999</v>
      </c>
      <c r="I555" t="s">
        <v>4</v>
      </c>
      <c r="J555" s="8">
        <v>1174</v>
      </c>
    </row>
    <row r="556" spans="1:10" x14ac:dyDescent="0.3">
      <c r="A556" s="1">
        <v>45505</v>
      </c>
      <c r="B556">
        <v>2024</v>
      </c>
      <c r="C556" t="str">
        <f>TEXT(Transformed_Data\[[#This Row],[Date]],"mmm")</f>
        <v>Aug</v>
      </c>
      <c r="D556" s="8">
        <v>10517</v>
      </c>
      <c r="E556" s="8">
        <v>46835</v>
      </c>
      <c r="F556" s="8">
        <v>64000</v>
      </c>
      <c r="G556" s="8">
        <v>17165</v>
      </c>
      <c r="H556" s="2">
        <v>0.26820312499999999</v>
      </c>
      <c r="I556" t="s">
        <v>5</v>
      </c>
      <c r="J556" s="8">
        <v>2351</v>
      </c>
    </row>
    <row r="557" spans="1:10" x14ac:dyDescent="0.3">
      <c r="A557" s="1">
        <v>45505</v>
      </c>
      <c r="B557">
        <v>2024</v>
      </c>
      <c r="C557" t="str">
        <f>TEXT(Transformed_Data\[[#This Row],[Date]],"mmm")</f>
        <v>Aug</v>
      </c>
      <c r="D557" s="8">
        <v>10517</v>
      </c>
      <c r="E557" s="8">
        <v>46835</v>
      </c>
      <c r="F557" s="8">
        <v>64000</v>
      </c>
      <c r="G557" s="8">
        <v>17165</v>
      </c>
      <c r="H557" s="2">
        <v>0.26820312499999999</v>
      </c>
      <c r="I557" t="s">
        <v>6</v>
      </c>
      <c r="J557" s="8">
        <v>2395</v>
      </c>
    </row>
    <row r="558" spans="1:10" x14ac:dyDescent="0.3">
      <c r="A558" s="1">
        <v>45505</v>
      </c>
      <c r="B558">
        <v>2024</v>
      </c>
      <c r="C558" t="str">
        <f>TEXT(Transformed_Data\[[#This Row],[Date]],"mmm")</f>
        <v>Aug</v>
      </c>
      <c r="D558" s="8">
        <v>10517</v>
      </c>
      <c r="E558" s="8">
        <v>46835</v>
      </c>
      <c r="F558" s="8">
        <v>64000</v>
      </c>
      <c r="G558" s="8">
        <v>17165</v>
      </c>
      <c r="H558" s="2">
        <v>0.26820312499999999</v>
      </c>
      <c r="I558" t="s">
        <v>7</v>
      </c>
      <c r="J558" s="8">
        <v>7642</v>
      </c>
    </row>
    <row r="559" spans="1:10" x14ac:dyDescent="0.3">
      <c r="A559" s="1">
        <v>45505</v>
      </c>
      <c r="B559">
        <v>2024</v>
      </c>
      <c r="C559" t="str">
        <f>TEXT(Transformed_Data\[[#This Row],[Date]],"mmm")</f>
        <v>Aug</v>
      </c>
      <c r="D559" s="8">
        <v>10517</v>
      </c>
      <c r="E559" s="8">
        <v>46835</v>
      </c>
      <c r="F559" s="8">
        <v>64000</v>
      </c>
      <c r="G559" s="8">
        <v>17165</v>
      </c>
      <c r="H559" s="2">
        <v>0.26820312499999999</v>
      </c>
      <c r="I559" t="s">
        <v>9</v>
      </c>
      <c r="J559" s="8">
        <v>6000</v>
      </c>
    </row>
    <row r="560" spans="1:10" x14ac:dyDescent="0.3">
      <c r="A560" s="1">
        <v>45505</v>
      </c>
      <c r="B560">
        <v>2024</v>
      </c>
      <c r="C560" t="str">
        <f>TEXT(Transformed_Data\[[#This Row],[Date]],"mmm")</f>
        <v>Aug</v>
      </c>
      <c r="D560" s="8">
        <v>10517</v>
      </c>
      <c r="E560" s="8">
        <v>46835</v>
      </c>
      <c r="F560" s="8">
        <v>64000</v>
      </c>
      <c r="G560" s="8">
        <v>17165</v>
      </c>
      <c r="H560" s="2">
        <v>0.26820312499999999</v>
      </c>
      <c r="I560" t="s">
        <v>10</v>
      </c>
      <c r="J560" s="8">
        <v>3187</v>
      </c>
    </row>
    <row r="561" spans="1:10" x14ac:dyDescent="0.3">
      <c r="A561" s="1">
        <v>45505</v>
      </c>
      <c r="B561">
        <v>2024</v>
      </c>
      <c r="C561" t="str">
        <f>TEXT(Transformed_Data\[[#This Row],[Date]],"mmm")</f>
        <v>Aug</v>
      </c>
      <c r="D561" s="8">
        <v>10517</v>
      </c>
      <c r="E561" s="8">
        <v>46835</v>
      </c>
      <c r="F561" s="8">
        <v>64000</v>
      </c>
      <c r="G561" s="8">
        <v>17165</v>
      </c>
      <c r="H561" s="2">
        <v>0.26820312499999999</v>
      </c>
      <c r="I561" t="s">
        <v>11</v>
      </c>
      <c r="J561" s="8">
        <v>2931</v>
      </c>
    </row>
    <row r="562" spans="1:10" x14ac:dyDescent="0.3">
      <c r="A562" s="1">
        <v>45536</v>
      </c>
      <c r="B562">
        <v>2024</v>
      </c>
      <c r="C562" t="str">
        <f>TEXT(Transformed_Data\[[#This Row],[Date]],"mmm")</f>
        <v>Sep</v>
      </c>
      <c r="D562" s="8">
        <v>7653</v>
      </c>
      <c r="E562" s="8">
        <v>48091</v>
      </c>
      <c r="F562" s="8">
        <v>64000</v>
      </c>
      <c r="G562" s="8">
        <v>15909</v>
      </c>
      <c r="H562" s="2">
        <v>0.24857812500000001</v>
      </c>
      <c r="I562" t="s">
        <v>1</v>
      </c>
      <c r="J562" s="8">
        <v>6956</v>
      </c>
    </row>
    <row r="563" spans="1:10" x14ac:dyDescent="0.3">
      <c r="A563" s="1">
        <v>45536</v>
      </c>
      <c r="B563">
        <v>2024</v>
      </c>
      <c r="C563" t="str">
        <f>TEXT(Transformed_Data\[[#This Row],[Date]],"mmm")</f>
        <v>Sep</v>
      </c>
      <c r="D563" s="8">
        <v>7653</v>
      </c>
      <c r="E563" s="8">
        <v>48091</v>
      </c>
      <c r="F563" s="8">
        <v>64000</v>
      </c>
      <c r="G563" s="8">
        <v>15909</v>
      </c>
      <c r="H563" s="2">
        <v>0.24857812500000001</v>
      </c>
      <c r="I563" t="s">
        <v>2</v>
      </c>
      <c r="J563" s="8">
        <v>13000</v>
      </c>
    </row>
    <row r="564" spans="1:10" x14ac:dyDescent="0.3">
      <c r="A564" s="1">
        <v>45536</v>
      </c>
      <c r="B564">
        <v>2024</v>
      </c>
      <c r="C564" t="str">
        <f>TEXT(Transformed_Data\[[#This Row],[Date]],"mmm")</f>
        <v>Sep</v>
      </c>
      <c r="D564" s="8">
        <v>7653</v>
      </c>
      <c r="E564" s="8">
        <v>48091</v>
      </c>
      <c r="F564" s="8">
        <v>64000</v>
      </c>
      <c r="G564" s="8">
        <v>15909</v>
      </c>
      <c r="H564" s="2">
        <v>0.24857812500000001</v>
      </c>
      <c r="I564" t="s">
        <v>3</v>
      </c>
      <c r="J564" s="8">
        <v>2950</v>
      </c>
    </row>
    <row r="565" spans="1:10" x14ac:dyDescent="0.3">
      <c r="A565" s="1">
        <v>45536</v>
      </c>
      <c r="B565">
        <v>2024</v>
      </c>
      <c r="C565" t="str">
        <f>TEXT(Transformed_Data\[[#This Row],[Date]],"mmm")</f>
        <v>Sep</v>
      </c>
      <c r="D565" s="8">
        <v>7653</v>
      </c>
      <c r="E565" s="8">
        <v>48091</v>
      </c>
      <c r="F565" s="8">
        <v>64000</v>
      </c>
      <c r="G565" s="8">
        <v>15909</v>
      </c>
      <c r="H565" s="2">
        <v>0.24857812500000001</v>
      </c>
      <c r="I565" t="s">
        <v>4</v>
      </c>
      <c r="J565" s="8">
        <v>800</v>
      </c>
    </row>
    <row r="566" spans="1:10" x14ac:dyDescent="0.3">
      <c r="A566" s="1">
        <v>45536</v>
      </c>
      <c r="B566">
        <v>2024</v>
      </c>
      <c r="C566" t="str">
        <f>TEXT(Transformed_Data\[[#This Row],[Date]],"mmm")</f>
        <v>Sep</v>
      </c>
      <c r="D566" s="8">
        <v>7653</v>
      </c>
      <c r="E566" s="8">
        <v>48091</v>
      </c>
      <c r="F566" s="8">
        <v>64000</v>
      </c>
      <c r="G566" s="8">
        <v>15909</v>
      </c>
      <c r="H566" s="2">
        <v>0.24857812500000001</v>
      </c>
      <c r="I566" t="s">
        <v>5</v>
      </c>
      <c r="J566" s="8">
        <v>1767</v>
      </c>
    </row>
    <row r="567" spans="1:10" x14ac:dyDescent="0.3">
      <c r="A567" s="1">
        <v>45536</v>
      </c>
      <c r="B567">
        <v>2024</v>
      </c>
      <c r="C567" t="str">
        <f>TEXT(Transformed_Data\[[#This Row],[Date]],"mmm")</f>
        <v>Sep</v>
      </c>
      <c r="D567" s="8">
        <v>7653</v>
      </c>
      <c r="E567" s="8">
        <v>48091</v>
      </c>
      <c r="F567" s="8">
        <v>64000</v>
      </c>
      <c r="G567" s="8">
        <v>15909</v>
      </c>
      <c r="H567" s="2">
        <v>0.24857812500000001</v>
      </c>
      <c r="I567" t="s">
        <v>6</v>
      </c>
      <c r="J567" s="8">
        <v>2190</v>
      </c>
    </row>
    <row r="568" spans="1:10" x14ac:dyDescent="0.3">
      <c r="A568" s="1">
        <v>45536</v>
      </c>
      <c r="B568">
        <v>2024</v>
      </c>
      <c r="C568" t="str">
        <f>TEXT(Transformed_Data\[[#This Row],[Date]],"mmm")</f>
        <v>Sep</v>
      </c>
      <c r="D568" s="8">
        <v>7653</v>
      </c>
      <c r="E568" s="8">
        <v>48091</v>
      </c>
      <c r="F568" s="8">
        <v>64000</v>
      </c>
      <c r="G568" s="8">
        <v>15909</v>
      </c>
      <c r="H568" s="2">
        <v>0.24857812500000001</v>
      </c>
      <c r="I568" t="s">
        <v>7</v>
      </c>
      <c r="J568" s="8">
        <v>9297</v>
      </c>
    </row>
    <row r="569" spans="1:10" x14ac:dyDescent="0.3">
      <c r="A569" s="1">
        <v>45536</v>
      </c>
      <c r="B569">
        <v>2024</v>
      </c>
      <c r="C569" t="str">
        <f>TEXT(Transformed_Data\[[#This Row],[Date]],"mmm")</f>
        <v>Sep</v>
      </c>
      <c r="D569" s="8">
        <v>7653</v>
      </c>
      <c r="E569" s="8">
        <v>48091</v>
      </c>
      <c r="F569" s="8">
        <v>64000</v>
      </c>
      <c r="G569" s="8">
        <v>15909</v>
      </c>
      <c r="H569" s="2">
        <v>0.24857812500000001</v>
      </c>
      <c r="I569" t="s">
        <v>9</v>
      </c>
      <c r="J569" s="8">
        <v>6000</v>
      </c>
    </row>
    <row r="570" spans="1:10" x14ac:dyDescent="0.3">
      <c r="A570" s="1">
        <v>45536</v>
      </c>
      <c r="B570">
        <v>2024</v>
      </c>
      <c r="C570" t="str">
        <f>TEXT(Transformed_Data\[[#This Row],[Date]],"mmm")</f>
        <v>Sep</v>
      </c>
      <c r="D570" s="8">
        <v>7653</v>
      </c>
      <c r="E570" s="8">
        <v>48091</v>
      </c>
      <c r="F570" s="8">
        <v>64000</v>
      </c>
      <c r="G570" s="8">
        <v>15909</v>
      </c>
      <c r="H570" s="2">
        <v>0.24857812500000001</v>
      </c>
      <c r="I570" t="s">
        <v>10</v>
      </c>
      <c r="J570" s="8">
        <v>2940</v>
      </c>
    </row>
    <row r="571" spans="1:10" x14ac:dyDescent="0.3">
      <c r="A571" s="1">
        <v>45536</v>
      </c>
      <c r="B571">
        <v>2024</v>
      </c>
      <c r="C571" t="str">
        <f>TEXT(Transformed_Data\[[#This Row],[Date]],"mmm")</f>
        <v>Sep</v>
      </c>
      <c r="D571" s="8">
        <v>7653</v>
      </c>
      <c r="E571" s="8">
        <v>48091</v>
      </c>
      <c r="F571" s="8">
        <v>64000</v>
      </c>
      <c r="G571" s="8">
        <v>15909</v>
      </c>
      <c r="H571" s="2">
        <v>0.24857812500000001</v>
      </c>
      <c r="I571" t="s">
        <v>11</v>
      </c>
      <c r="J571" s="8">
        <v>2191</v>
      </c>
    </row>
    <row r="572" spans="1:10" x14ac:dyDescent="0.3">
      <c r="A572" s="1">
        <v>45566</v>
      </c>
      <c r="B572">
        <v>2024</v>
      </c>
      <c r="C572" t="str">
        <f>TEXT(Transformed_Data\[[#This Row],[Date]],"mmm")</f>
        <v>Oct</v>
      </c>
      <c r="D572" s="8">
        <v>10596</v>
      </c>
      <c r="E572" s="8">
        <v>46246</v>
      </c>
      <c r="F572" s="8">
        <v>64000</v>
      </c>
      <c r="G572" s="8">
        <v>17754</v>
      </c>
      <c r="H572" s="2">
        <v>0.27740625000000002</v>
      </c>
      <c r="I572" t="s">
        <v>1</v>
      </c>
      <c r="J572" s="8">
        <v>8444</v>
      </c>
    </row>
    <row r="573" spans="1:10" x14ac:dyDescent="0.3">
      <c r="A573" s="1">
        <v>45566</v>
      </c>
      <c r="B573">
        <v>2024</v>
      </c>
      <c r="C573" t="str">
        <f>TEXT(Transformed_Data\[[#This Row],[Date]],"mmm")</f>
        <v>Oct</v>
      </c>
      <c r="D573" s="8">
        <v>10596</v>
      </c>
      <c r="E573" s="8">
        <v>46246</v>
      </c>
      <c r="F573" s="8">
        <v>64000</v>
      </c>
      <c r="G573" s="8">
        <v>17754</v>
      </c>
      <c r="H573" s="2">
        <v>0.27740625000000002</v>
      </c>
      <c r="I573" t="s">
        <v>2</v>
      </c>
      <c r="J573" s="8">
        <v>13000</v>
      </c>
    </row>
    <row r="574" spans="1:10" x14ac:dyDescent="0.3">
      <c r="A574" s="1">
        <v>45566</v>
      </c>
      <c r="B574">
        <v>2024</v>
      </c>
      <c r="C574" t="str">
        <f>TEXT(Transformed_Data\[[#This Row],[Date]],"mmm")</f>
        <v>Oct</v>
      </c>
      <c r="D574" s="8">
        <v>10596</v>
      </c>
      <c r="E574" s="8">
        <v>46246</v>
      </c>
      <c r="F574" s="8">
        <v>64000</v>
      </c>
      <c r="G574" s="8">
        <v>17754</v>
      </c>
      <c r="H574" s="2">
        <v>0.27740625000000002</v>
      </c>
      <c r="I574" t="s">
        <v>3</v>
      </c>
      <c r="J574" s="8">
        <v>3130</v>
      </c>
    </row>
    <row r="575" spans="1:10" x14ac:dyDescent="0.3">
      <c r="A575" s="1">
        <v>45566</v>
      </c>
      <c r="B575">
        <v>2024</v>
      </c>
      <c r="C575" t="str">
        <f>TEXT(Transformed_Data\[[#This Row],[Date]],"mmm")</f>
        <v>Oct</v>
      </c>
      <c r="D575" s="8">
        <v>10596</v>
      </c>
      <c r="E575" s="8">
        <v>46246</v>
      </c>
      <c r="F575" s="8">
        <v>64000</v>
      </c>
      <c r="G575" s="8">
        <v>17754</v>
      </c>
      <c r="H575" s="2">
        <v>0.27740625000000002</v>
      </c>
      <c r="I575" t="s">
        <v>4</v>
      </c>
      <c r="J575" s="8">
        <v>1001</v>
      </c>
    </row>
    <row r="576" spans="1:10" x14ac:dyDescent="0.3">
      <c r="A576" s="1">
        <v>45566</v>
      </c>
      <c r="B576">
        <v>2024</v>
      </c>
      <c r="C576" t="str">
        <f>TEXT(Transformed_Data\[[#This Row],[Date]],"mmm")</f>
        <v>Oct</v>
      </c>
      <c r="D576" s="8">
        <v>10596</v>
      </c>
      <c r="E576" s="8">
        <v>46246</v>
      </c>
      <c r="F576" s="8">
        <v>64000</v>
      </c>
      <c r="G576" s="8">
        <v>17754</v>
      </c>
      <c r="H576" s="2">
        <v>0.27740625000000002</v>
      </c>
      <c r="I576" t="s">
        <v>5</v>
      </c>
      <c r="J576" s="8">
        <v>2397</v>
      </c>
    </row>
    <row r="577" spans="1:10" x14ac:dyDescent="0.3">
      <c r="A577" s="1">
        <v>45566</v>
      </c>
      <c r="B577">
        <v>2024</v>
      </c>
      <c r="C577" t="str">
        <f>TEXT(Transformed_Data\[[#This Row],[Date]],"mmm")</f>
        <v>Oct</v>
      </c>
      <c r="D577" s="8">
        <v>10596</v>
      </c>
      <c r="E577" s="8">
        <v>46246</v>
      </c>
      <c r="F577" s="8">
        <v>64000</v>
      </c>
      <c r="G577" s="8">
        <v>17754</v>
      </c>
      <c r="H577" s="2">
        <v>0.27740625000000002</v>
      </c>
      <c r="I577" t="s">
        <v>6</v>
      </c>
      <c r="J577" s="8">
        <v>1511</v>
      </c>
    </row>
    <row r="578" spans="1:10" x14ac:dyDescent="0.3">
      <c r="A578" s="1">
        <v>45566</v>
      </c>
      <c r="B578">
        <v>2024</v>
      </c>
      <c r="C578" t="str">
        <f>TEXT(Transformed_Data\[[#This Row],[Date]],"mmm")</f>
        <v>Oct</v>
      </c>
      <c r="D578" s="8">
        <v>10596</v>
      </c>
      <c r="E578" s="8">
        <v>46246</v>
      </c>
      <c r="F578" s="8">
        <v>64000</v>
      </c>
      <c r="G578" s="8">
        <v>17754</v>
      </c>
      <c r="H578" s="2">
        <v>0.27740625000000002</v>
      </c>
      <c r="I578" t="s">
        <v>7</v>
      </c>
      <c r="J578" s="8">
        <v>7476</v>
      </c>
    </row>
    <row r="579" spans="1:10" x14ac:dyDescent="0.3">
      <c r="A579" s="1">
        <v>45566</v>
      </c>
      <c r="B579">
        <v>2024</v>
      </c>
      <c r="C579" t="str">
        <f>TEXT(Transformed_Data\[[#This Row],[Date]],"mmm")</f>
        <v>Oct</v>
      </c>
      <c r="D579" s="8">
        <v>10596</v>
      </c>
      <c r="E579" s="8">
        <v>46246</v>
      </c>
      <c r="F579" s="8">
        <v>64000</v>
      </c>
      <c r="G579" s="8">
        <v>17754</v>
      </c>
      <c r="H579" s="2">
        <v>0.27740625000000002</v>
      </c>
      <c r="I579" t="s">
        <v>9</v>
      </c>
      <c r="J579" s="8">
        <v>6000</v>
      </c>
    </row>
    <row r="580" spans="1:10" x14ac:dyDescent="0.3">
      <c r="A580" s="1">
        <v>45566</v>
      </c>
      <c r="B580">
        <v>2024</v>
      </c>
      <c r="C580" t="str">
        <f>TEXT(Transformed_Data\[[#This Row],[Date]],"mmm")</f>
        <v>Oct</v>
      </c>
      <c r="D580" s="8">
        <v>10596</v>
      </c>
      <c r="E580" s="8">
        <v>46246</v>
      </c>
      <c r="F580" s="8">
        <v>64000</v>
      </c>
      <c r="G580" s="8">
        <v>17754</v>
      </c>
      <c r="H580" s="2">
        <v>0.27740625000000002</v>
      </c>
      <c r="I580" t="s">
        <v>10</v>
      </c>
      <c r="J580" s="8">
        <v>2253</v>
      </c>
    </row>
    <row r="581" spans="1:10" x14ac:dyDescent="0.3">
      <c r="A581" s="1">
        <v>45566</v>
      </c>
      <c r="B581">
        <v>2024</v>
      </c>
      <c r="C581" t="str">
        <f>TEXT(Transformed_Data\[[#This Row],[Date]],"mmm")</f>
        <v>Oct</v>
      </c>
      <c r="D581" s="8">
        <v>10596</v>
      </c>
      <c r="E581" s="8">
        <v>46246</v>
      </c>
      <c r="F581" s="8">
        <v>64000</v>
      </c>
      <c r="G581" s="8">
        <v>17754</v>
      </c>
      <c r="H581" s="2">
        <v>0.27740625000000002</v>
      </c>
      <c r="I581" t="s">
        <v>11</v>
      </c>
      <c r="J581" s="8">
        <v>1034</v>
      </c>
    </row>
    <row r="582" spans="1:10" x14ac:dyDescent="0.3">
      <c r="A582" s="1">
        <v>45597</v>
      </c>
      <c r="B582">
        <v>2024</v>
      </c>
      <c r="C582" t="str">
        <f>TEXT(Transformed_Data\[[#This Row],[Date]],"mmm")</f>
        <v>Nov</v>
      </c>
      <c r="D582" s="8">
        <v>10859</v>
      </c>
      <c r="E582" s="8">
        <v>47797</v>
      </c>
      <c r="F582" s="8">
        <v>64000</v>
      </c>
      <c r="G582" s="8">
        <v>16203</v>
      </c>
      <c r="H582" s="2">
        <v>0.25317187499999999</v>
      </c>
      <c r="I582" t="s">
        <v>1</v>
      </c>
      <c r="J582" s="8">
        <v>8652</v>
      </c>
    </row>
    <row r="583" spans="1:10" x14ac:dyDescent="0.3">
      <c r="A583" s="1">
        <v>45597</v>
      </c>
      <c r="B583">
        <v>2024</v>
      </c>
      <c r="C583" t="str">
        <f>TEXT(Transformed_Data\[[#This Row],[Date]],"mmm")</f>
        <v>Nov</v>
      </c>
      <c r="D583" s="8">
        <v>10859</v>
      </c>
      <c r="E583" s="8">
        <v>47797</v>
      </c>
      <c r="F583" s="8">
        <v>64000</v>
      </c>
      <c r="G583" s="8">
        <v>16203</v>
      </c>
      <c r="H583" s="2">
        <v>0.25317187499999999</v>
      </c>
      <c r="I583" t="s">
        <v>2</v>
      </c>
      <c r="J583" s="8">
        <v>13000</v>
      </c>
    </row>
    <row r="584" spans="1:10" x14ac:dyDescent="0.3">
      <c r="A584" s="1">
        <v>45597</v>
      </c>
      <c r="B584">
        <v>2024</v>
      </c>
      <c r="C584" t="str">
        <f>TEXT(Transformed_Data\[[#This Row],[Date]],"mmm")</f>
        <v>Nov</v>
      </c>
      <c r="D584" s="8">
        <v>10859</v>
      </c>
      <c r="E584" s="8">
        <v>47797</v>
      </c>
      <c r="F584" s="8">
        <v>64000</v>
      </c>
      <c r="G584" s="8">
        <v>16203</v>
      </c>
      <c r="H584" s="2">
        <v>0.25317187499999999</v>
      </c>
      <c r="I584" t="s">
        <v>3</v>
      </c>
      <c r="J584" s="8">
        <v>3125</v>
      </c>
    </row>
    <row r="585" spans="1:10" x14ac:dyDescent="0.3">
      <c r="A585" s="1">
        <v>45597</v>
      </c>
      <c r="B585">
        <v>2024</v>
      </c>
      <c r="C585" t="str">
        <f>TEXT(Transformed_Data\[[#This Row],[Date]],"mmm")</f>
        <v>Nov</v>
      </c>
      <c r="D585" s="8">
        <v>10859</v>
      </c>
      <c r="E585" s="8">
        <v>47797</v>
      </c>
      <c r="F585" s="8">
        <v>64000</v>
      </c>
      <c r="G585" s="8">
        <v>16203</v>
      </c>
      <c r="H585" s="2">
        <v>0.25317187499999999</v>
      </c>
      <c r="I585" t="s">
        <v>4</v>
      </c>
      <c r="J585" s="8">
        <v>1117</v>
      </c>
    </row>
    <row r="586" spans="1:10" x14ac:dyDescent="0.3">
      <c r="A586" s="1">
        <v>45597</v>
      </c>
      <c r="B586">
        <v>2024</v>
      </c>
      <c r="C586" t="str">
        <f>TEXT(Transformed_Data\[[#This Row],[Date]],"mmm")</f>
        <v>Nov</v>
      </c>
      <c r="D586" s="8">
        <v>10859</v>
      </c>
      <c r="E586" s="8">
        <v>47797</v>
      </c>
      <c r="F586" s="8">
        <v>64000</v>
      </c>
      <c r="G586" s="8">
        <v>16203</v>
      </c>
      <c r="H586" s="2">
        <v>0.25317187499999999</v>
      </c>
      <c r="I586" t="s">
        <v>5</v>
      </c>
      <c r="J586" s="8">
        <v>1614</v>
      </c>
    </row>
    <row r="587" spans="1:10" x14ac:dyDescent="0.3">
      <c r="A587" s="1">
        <v>45597</v>
      </c>
      <c r="B587">
        <v>2024</v>
      </c>
      <c r="C587" t="str">
        <f>TEXT(Transformed_Data\[[#This Row],[Date]],"mmm")</f>
        <v>Nov</v>
      </c>
      <c r="D587" s="8">
        <v>10859</v>
      </c>
      <c r="E587" s="8">
        <v>47797</v>
      </c>
      <c r="F587" s="8">
        <v>64000</v>
      </c>
      <c r="G587" s="8">
        <v>16203</v>
      </c>
      <c r="H587" s="2">
        <v>0.25317187499999999</v>
      </c>
      <c r="I587" t="s">
        <v>6</v>
      </c>
      <c r="J587" s="8">
        <v>2469</v>
      </c>
    </row>
    <row r="588" spans="1:10" x14ac:dyDescent="0.3">
      <c r="A588" s="1">
        <v>45597</v>
      </c>
      <c r="B588">
        <v>2024</v>
      </c>
      <c r="C588" t="str">
        <f>TEXT(Transformed_Data\[[#This Row],[Date]],"mmm")</f>
        <v>Nov</v>
      </c>
      <c r="D588" s="8">
        <v>10859</v>
      </c>
      <c r="E588" s="8">
        <v>47797</v>
      </c>
      <c r="F588" s="8">
        <v>64000</v>
      </c>
      <c r="G588" s="8">
        <v>16203</v>
      </c>
      <c r="H588" s="2">
        <v>0.25317187499999999</v>
      </c>
      <c r="I588" t="s">
        <v>7</v>
      </c>
      <c r="J588" s="8">
        <v>6778</v>
      </c>
    </row>
    <row r="589" spans="1:10" x14ac:dyDescent="0.3">
      <c r="A589" s="1">
        <v>45597</v>
      </c>
      <c r="B589">
        <v>2024</v>
      </c>
      <c r="C589" t="str">
        <f>TEXT(Transformed_Data\[[#This Row],[Date]],"mmm")</f>
        <v>Nov</v>
      </c>
      <c r="D589" s="8">
        <v>10859</v>
      </c>
      <c r="E589" s="8">
        <v>47797</v>
      </c>
      <c r="F589" s="8">
        <v>64000</v>
      </c>
      <c r="G589" s="8">
        <v>16203</v>
      </c>
      <c r="H589" s="2">
        <v>0.25317187499999999</v>
      </c>
      <c r="I589" t="s">
        <v>9</v>
      </c>
      <c r="J589" s="8">
        <v>6000</v>
      </c>
    </row>
    <row r="590" spans="1:10" x14ac:dyDescent="0.3">
      <c r="A590" s="1">
        <v>45597</v>
      </c>
      <c r="B590">
        <v>2024</v>
      </c>
      <c r="C590" t="str">
        <f>TEXT(Transformed_Data\[[#This Row],[Date]],"mmm")</f>
        <v>Nov</v>
      </c>
      <c r="D590" s="8">
        <v>10859</v>
      </c>
      <c r="E590" s="8">
        <v>47797</v>
      </c>
      <c r="F590" s="8">
        <v>64000</v>
      </c>
      <c r="G590" s="8">
        <v>16203</v>
      </c>
      <c r="H590" s="2">
        <v>0.25317187499999999</v>
      </c>
      <c r="I590" t="s">
        <v>10</v>
      </c>
      <c r="J590" s="8">
        <v>2116</v>
      </c>
    </row>
    <row r="591" spans="1:10" x14ac:dyDescent="0.3">
      <c r="A591" s="1">
        <v>45597</v>
      </c>
      <c r="B591">
        <v>2024</v>
      </c>
      <c r="C591" t="str">
        <f>TEXT(Transformed_Data\[[#This Row],[Date]],"mmm")</f>
        <v>Nov</v>
      </c>
      <c r="D591" s="8">
        <v>10859</v>
      </c>
      <c r="E591" s="8">
        <v>47797</v>
      </c>
      <c r="F591" s="8">
        <v>64000</v>
      </c>
      <c r="G591" s="8">
        <v>16203</v>
      </c>
      <c r="H591" s="2">
        <v>0.25317187499999999</v>
      </c>
      <c r="I591" t="s">
        <v>11</v>
      </c>
      <c r="J591" s="8">
        <v>2926</v>
      </c>
    </row>
    <row r="592" spans="1:10" x14ac:dyDescent="0.3">
      <c r="A592" s="1">
        <v>45627</v>
      </c>
      <c r="B592">
        <v>2024</v>
      </c>
      <c r="C592" t="str">
        <f>TEXT(Transformed_Data\[[#This Row],[Date]],"mmm")</f>
        <v>Dec</v>
      </c>
      <c r="D592" s="8">
        <v>9907</v>
      </c>
      <c r="E592" s="8">
        <v>48044</v>
      </c>
      <c r="F592" s="8">
        <v>64000</v>
      </c>
      <c r="G592" s="8">
        <v>15956</v>
      </c>
      <c r="H592" s="2">
        <v>0.24931249999999999</v>
      </c>
      <c r="I592" t="s">
        <v>1</v>
      </c>
      <c r="J592" s="8">
        <v>7516</v>
      </c>
    </row>
    <row r="593" spans="1:10" x14ac:dyDescent="0.3">
      <c r="A593" s="1">
        <v>45627</v>
      </c>
      <c r="B593">
        <v>2024</v>
      </c>
      <c r="C593" t="str">
        <f>TEXT(Transformed_Data\[[#This Row],[Date]],"mmm")</f>
        <v>Dec</v>
      </c>
      <c r="D593" s="8">
        <v>9907</v>
      </c>
      <c r="E593" s="8">
        <v>48044</v>
      </c>
      <c r="F593" s="8">
        <v>64000</v>
      </c>
      <c r="G593" s="8">
        <v>15956</v>
      </c>
      <c r="H593" s="2">
        <v>0.24931249999999999</v>
      </c>
      <c r="I593" t="s">
        <v>2</v>
      </c>
      <c r="J593" s="8">
        <v>13000</v>
      </c>
    </row>
    <row r="594" spans="1:10" x14ac:dyDescent="0.3">
      <c r="A594" s="1">
        <v>45627</v>
      </c>
      <c r="B594">
        <v>2024</v>
      </c>
      <c r="C594" t="str">
        <f>TEXT(Transformed_Data\[[#This Row],[Date]],"mmm")</f>
        <v>Dec</v>
      </c>
      <c r="D594" s="8">
        <v>9907</v>
      </c>
      <c r="E594" s="8">
        <v>48044</v>
      </c>
      <c r="F594" s="8">
        <v>64000</v>
      </c>
      <c r="G594" s="8">
        <v>15956</v>
      </c>
      <c r="H594" s="2">
        <v>0.24931249999999999</v>
      </c>
      <c r="I594" t="s">
        <v>3</v>
      </c>
      <c r="J594" s="8">
        <v>1912</v>
      </c>
    </row>
    <row r="595" spans="1:10" x14ac:dyDescent="0.3">
      <c r="A595" s="1">
        <v>45627</v>
      </c>
      <c r="B595">
        <v>2024</v>
      </c>
      <c r="C595" t="str">
        <f>TEXT(Transformed_Data\[[#This Row],[Date]],"mmm")</f>
        <v>Dec</v>
      </c>
      <c r="D595" s="8">
        <v>9907</v>
      </c>
      <c r="E595" s="8">
        <v>48044</v>
      </c>
      <c r="F595" s="8">
        <v>64000</v>
      </c>
      <c r="G595" s="8">
        <v>15956</v>
      </c>
      <c r="H595" s="2">
        <v>0.24931249999999999</v>
      </c>
      <c r="I595" t="s">
        <v>4</v>
      </c>
      <c r="J595" s="8">
        <v>1075</v>
      </c>
    </row>
    <row r="596" spans="1:10" x14ac:dyDescent="0.3">
      <c r="A596" s="1">
        <v>45627</v>
      </c>
      <c r="B596">
        <v>2024</v>
      </c>
      <c r="C596" t="str">
        <f>TEXT(Transformed_Data\[[#This Row],[Date]],"mmm")</f>
        <v>Dec</v>
      </c>
      <c r="D596" s="8">
        <v>9907</v>
      </c>
      <c r="E596" s="8">
        <v>48044</v>
      </c>
      <c r="F596" s="8">
        <v>64000</v>
      </c>
      <c r="G596" s="8">
        <v>15956</v>
      </c>
      <c r="H596" s="2">
        <v>0.24931249999999999</v>
      </c>
      <c r="I596" t="s">
        <v>5</v>
      </c>
      <c r="J596" s="8">
        <v>1919</v>
      </c>
    </row>
    <row r="597" spans="1:10" x14ac:dyDescent="0.3">
      <c r="A597" s="1">
        <v>45627</v>
      </c>
      <c r="B597">
        <v>2024</v>
      </c>
      <c r="C597" t="str">
        <f>TEXT(Transformed_Data\[[#This Row],[Date]],"mmm")</f>
        <v>Dec</v>
      </c>
      <c r="D597" s="8">
        <v>9907</v>
      </c>
      <c r="E597" s="8">
        <v>48044</v>
      </c>
      <c r="F597" s="8">
        <v>64000</v>
      </c>
      <c r="G597" s="8">
        <v>15956</v>
      </c>
      <c r="H597" s="2">
        <v>0.24931249999999999</v>
      </c>
      <c r="I597" t="s">
        <v>6</v>
      </c>
      <c r="J597" s="8">
        <v>2598</v>
      </c>
    </row>
    <row r="598" spans="1:10" x14ac:dyDescent="0.3">
      <c r="A598" s="1">
        <v>45627</v>
      </c>
      <c r="B598">
        <v>2024</v>
      </c>
      <c r="C598" t="str">
        <f>TEXT(Transformed_Data\[[#This Row],[Date]],"mmm")</f>
        <v>Dec</v>
      </c>
      <c r="D598" s="8">
        <v>9907</v>
      </c>
      <c r="E598" s="8">
        <v>48044</v>
      </c>
      <c r="F598" s="8">
        <v>64000</v>
      </c>
      <c r="G598" s="8">
        <v>15956</v>
      </c>
      <c r="H598" s="2">
        <v>0.24931249999999999</v>
      </c>
      <c r="I598" t="s">
        <v>7</v>
      </c>
      <c r="J598" s="8">
        <v>9496</v>
      </c>
    </row>
    <row r="599" spans="1:10" x14ac:dyDescent="0.3">
      <c r="A599" s="1">
        <v>45627</v>
      </c>
      <c r="B599">
        <v>2024</v>
      </c>
      <c r="C599" t="str">
        <f>TEXT(Transformed_Data\[[#This Row],[Date]],"mmm")</f>
        <v>Dec</v>
      </c>
      <c r="D599" s="8">
        <v>9907</v>
      </c>
      <c r="E599" s="8">
        <v>48044</v>
      </c>
      <c r="F599" s="8">
        <v>64000</v>
      </c>
      <c r="G599" s="8">
        <v>15956</v>
      </c>
      <c r="H599" s="2">
        <v>0.24931249999999999</v>
      </c>
      <c r="I599" t="s">
        <v>9</v>
      </c>
      <c r="J599" s="8">
        <v>6000</v>
      </c>
    </row>
    <row r="600" spans="1:10" x14ac:dyDescent="0.3">
      <c r="A600" s="1">
        <v>45627</v>
      </c>
      <c r="B600">
        <v>2024</v>
      </c>
      <c r="C600" t="str">
        <f>TEXT(Transformed_Data\[[#This Row],[Date]],"mmm")</f>
        <v>Dec</v>
      </c>
      <c r="D600" s="8">
        <v>9907</v>
      </c>
      <c r="E600" s="8">
        <v>48044</v>
      </c>
      <c r="F600" s="8">
        <v>64000</v>
      </c>
      <c r="G600" s="8">
        <v>15956</v>
      </c>
      <c r="H600" s="2">
        <v>0.24931249999999999</v>
      </c>
      <c r="I600" t="s">
        <v>10</v>
      </c>
      <c r="J600" s="8">
        <v>2228</v>
      </c>
    </row>
    <row r="601" spans="1:10" x14ac:dyDescent="0.3">
      <c r="A601" s="1">
        <v>45627</v>
      </c>
      <c r="B601">
        <v>2024</v>
      </c>
      <c r="C601" t="str">
        <f>TEXT(Transformed_Data\[[#This Row],[Date]],"mmm")</f>
        <v>Dec</v>
      </c>
      <c r="D601" s="8">
        <v>9907</v>
      </c>
      <c r="E601" s="8">
        <v>48044</v>
      </c>
      <c r="F601" s="8">
        <v>64000</v>
      </c>
      <c r="G601" s="8">
        <v>15956</v>
      </c>
      <c r="H601" s="2">
        <v>0.24931249999999999</v>
      </c>
      <c r="I601" t="s">
        <v>11</v>
      </c>
      <c r="J601" s="8">
        <v>2300</v>
      </c>
    </row>
    <row r="602" spans="1:10" x14ac:dyDescent="0.3">
      <c r="A602" s="1">
        <v>45658</v>
      </c>
      <c r="B602">
        <v>2025</v>
      </c>
      <c r="C602" t="str">
        <f>TEXT(Transformed_Data\[[#This Row],[Date]],"mmm")</f>
        <v>Jan</v>
      </c>
      <c r="D602" s="8">
        <v>11369</v>
      </c>
      <c r="E602" s="8">
        <v>47179</v>
      </c>
      <c r="F602" s="8">
        <v>64000</v>
      </c>
      <c r="G602" s="8">
        <v>16821</v>
      </c>
      <c r="H602" s="2">
        <v>0.26282812500000002</v>
      </c>
      <c r="I602" t="s">
        <v>1</v>
      </c>
      <c r="J602" s="8">
        <v>7892</v>
      </c>
    </row>
    <row r="603" spans="1:10" x14ac:dyDescent="0.3">
      <c r="A603" s="1">
        <v>45658</v>
      </c>
      <c r="B603">
        <v>2025</v>
      </c>
      <c r="C603" t="str">
        <f>TEXT(Transformed_Data\[[#This Row],[Date]],"mmm")</f>
        <v>Jan</v>
      </c>
      <c r="D603" s="8">
        <v>11369</v>
      </c>
      <c r="E603" s="8">
        <v>47179</v>
      </c>
      <c r="F603" s="8">
        <v>64000</v>
      </c>
      <c r="G603" s="8">
        <v>16821</v>
      </c>
      <c r="H603" s="2">
        <v>0.26282812500000002</v>
      </c>
      <c r="I603" t="s">
        <v>2</v>
      </c>
      <c r="J603" s="8">
        <v>13000</v>
      </c>
    </row>
    <row r="604" spans="1:10" x14ac:dyDescent="0.3">
      <c r="A604" s="1">
        <v>45658</v>
      </c>
      <c r="B604">
        <v>2025</v>
      </c>
      <c r="C604" t="str">
        <f>TEXT(Transformed_Data\[[#This Row],[Date]],"mmm")</f>
        <v>Jan</v>
      </c>
      <c r="D604" s="8">
        <v>11369</v>
      </c>
      <c r="E604" s="8">
        <v>47179</v>
      </c>
      <c r="F604" s="8">
        <v>64000</v>
      </c>
      <c r="G604" s="8">
        <v>16821</v>
      </c>
      <c r="H604" s="2">
        <v>0.26282812500000002</v>
      </c>
      <c r="I604" t="s">
        <v>3</v>
      </c>
      <c r="J604" s="8">
        <v>2419</v>
      </c>
    </row>
    <row r="605" spans="1:10" x14ac:dyDescent="0.3">
      <c r="A605" s="1">
        <v>45658</v>
      </c>
      <c r="B605">
        <v>2025</v>
      </c>
      <c r="C605" t="str">
        <f>TEXT(Transformed_Data\[[#This Row],[Date]],"mmm")</f>
        <v>Jan</v>
      </c>
      <c r="D605" s="8">
        <v>11369</v>
      </c>
      <c r="E605" s="8">
        <v>47179</v>
      </c>
      <c r="F605" s="8">
        <v>64000</v>
      </c>
      <c r="G605" s="8">
        <v>16821</v>
      </c>
      <c r="H605" s="2">
        <v>0.26282812500000002</v>
      </c>
      <c r="I605" t="s">
        <v>4</v>
      </c>
      <c r="J605" s="8">
        <v>891</v>
      </c>
    </row>
    <row r="606" spans="1:10" x14ac:dyDescent="0.3">
      <c r="A606" s="1">
        <v>45658</v>
      </c>
      <c r="B606">
        <v>2025</v>
      </c>
      <c r="C606" t="str">
        <f>TEXT(Transformed_Data\[[#This Row],[Date]],"mmm")</f>
        <v>Jan</v>
      </c>
      <c r="D606" s="8">
        <v>11369</v>
      </c>
      <c r="E606" s="8">
        <v>47179</v>
      </c>
      <c r="F606" s="8">
        <v>64000</v>
      </c>
      <c r="G606" s="8">
        <v>16821</v>
      </c>
      <c r="H606" s="2">
        <v>0.26282812500000002</v>
      </c>
      <c r="I606" t="s">
        <v>5</v>
      </c>
      <c r="J606" s="8">
        <v>2238</v>
      </c>
    </row>
    <row r="607" spans="1:10" x14ac:dyDescent="0.3">
      <c r="A607" s="1">
        <v>45658</v>
      </c>
      <c r="B607">
        <v>2025</v>
      </c>
      <c r="C607" t="str">
        <f>TEXT(Transformed_Data\[[#This Row],[Date]],"mmm")</f>
        <v>Jan</v>
      </c>
      <c r="D607" s="8">
        <v>11369</v>
      </c>
      <c r="E607" s="8">
        <v>47179</v>
      </c>
      <c r="F607" s="8">
        <v>64000</v>
      </c>
      <c r="G607" s="8">
        <v>16821</v>
      </c>
      <c r="H607" s="2">
        <v>0.26282812500000002</v>
      </c>
      <c r="I607" t="s">
        <v>6</v>
      </c>
      <c r="J607" s="8">
        <v>1956</v>
      </c>
    </row>
    <row r="608" spans="1:10" x14ac:dyDescent="0.3">
      <c r="A608" s="1">
        <v>45658</v>
      </c>
      <c r="B608">
        <v>2025</v>
      </c>
      <c r="C608" t="str">
        <f>TEXT(Transformed_Data\[[#This Row],[Date]],"mmm")</f>
        <v>Jan</v>
      </c>
      <c r="D608" s="8">
        <v>11369</v>
      </c>
      <c r="E608" s="8">
        <v>47179</v>
      </c>
      <c r="F608" s="8">
        <v>64000</v>
      </c>
      <c r="G608" s="8">
        <v>16821</v>
      </c>
      <c r="H608" s="2">
        <v>0.26282812500000002</v>
      </c>
      <c r="I608" t="s">
        <v>7</v>
      </c>
      <c r="J608" s="8">
        <v>7590</v>
      </c>
    </row>
    <row r="609" spans="1:10" x14ac:dyDescent="0.3">
      <c r="A609" s="1">
        <v>45658</v>
      </c>
      <c r="B609">
        <v>2025</v>
      </c>
      <c r="C609" t="str">
        <f>TEXT(Transformed_Data\[[#This Row],[Date]],"mmm")</f>
        <v>Jan</v>
      </c>
      <c r="D609" s="8">
        <v>11369</v>
      </c>
      <c r="E609" s="8">
        <v>47179</v>
      </c>
      <c r="F609" s="8">
        <v>64000</v>
      </c>
      <c r="G609" s="8">
        <v>16821</v>
      </c>
      <c r="H609" s="2">
        <v>0.26282812500000002</v>
      </c>
      <c r="I609" t="s">
        <v>9</v>
      </c>
      <c r="J609" s="8">
        <v>6000</v>
      </c>
    </row>
    <row r="610" spans="1:10" x14ac:dyDescent="0.3">
      <c r="A610" s="1">
        <v>45658</v>
      </c>
      <c r="B610">
        <v>2025</v>
      </c>
      <c r="C610" t="str">
        <f>TEXT(Transformed_Data\[[#This Row],[Date]],"mmm")</f>
        <v>Jan</v>
      </c>
      <c r="D610" s="8">
        <v>11369</v>
      </c>
      <c r="E610" s="8">
        <v>47179</v>
      </c>
      <c r="F610" s="8">
        <v>64000</v>
      </c>
      <c r="G610" s="8">
        <v>16821</v>
      </c>
      <c r="H610" s="2">
        <v>0.26282812500000002</v>
      </c>
      <c r="I610" t="s">
        <v>10</v>
      </c>
      <c r="J610" s="8">
        <v>2622</v>
      </c>
    </row>
    <row r="611" spans="1:10" x14ac:dyDescent="0.3">
      <c r="A611" s="1">
        <v>45658</v>
      </c>
      <c r="B611">
        <v>2025</v>
      </c>
      <c r="C611" t="str">
        <f>TEXT(Transformed_Data\[[#This Row],[Date]],"mmm")</f>
        <v>Jan</v>
      </c>
      <c r="D611" s="8">
        <v>11369</v>
      </c>
      <c r="E611" s="8">
        <v>47179</v>
      </c>
      <c r="F611" s="8">
        <v>64000</v>
      </c>
      <c r="G611" s="8">
        <v>16821</v>
      </c>
      <c r="H611" s="2">
        <v>0.26282812500000002</v>
      </c>
      <c r="I611" t="s">
        <v>11</v>
      </c>
      <c r="J611" s="8">
        <v>2571</v>
      </c>
    </row>
    <row r="612" spans="1:10" x14ac:dyDescent="0.3">
      <c r="A612" s="1">
        <v>45689</v>
      </c>
      <c r="B612">
        <v>2025</v>
      </c>
      <c r="C612" t="str">
        <f>TEXT(Transformed_Data\[[#This Row],[Date]],"mmm")</f>
        <v>Feb</v>
      </c>
      <c r="D612" s="8">
        <v>7059</v>
      </c>
      <c r="E612" s="8">
        <v>41161</v>
      </c>
      <c r="F612" s="8">
        <v>64000</v>
      </c>
      <c r="G612" s="8">
        <v>22839</v>
      </c>
      <c r="H612" s="2">
        <v>0.35685937499999998</v>
      </c>
      <c r="I612" t="s">
        <v>1</v>
      </c>
      <c r="J612" s="8">
        <v>7687</v>
      </c>
    </row>
    <row r="613" spans="1:10" x14ac:dyDescent="0.3">
      <c r="A613" s="1">
        <v>45689</v>
      </c>
      <c r="B613">
        <v>2025</v>
      </c>
      <c r="C613" t="str">
        <f>TEXT(Transformed_Data\[[#This Row],[Date]],"mmm")</f>
        <v>Feb</v>
      </c>
      <c r="D613" s="8">
        <v>7059</v>
      </c>
      <c r="E613" s="8">
        <v>41161</v>
      </c>
      <c r="F613" s="8">
        <v>64000</v>
      </c>
      <c r="G613" s="8">
        <v>22839</v>
      </c>
      <c r="H613" s="2">
        <v>0.35685937499999998</v>
      </c>
      <c r="I613" t="s">
        <v>2</v>
      </c>
      <c r="J613" s="8">
        <v>13000</v>
      </c>
    </row>
    <row r="614" spans="1:10" x14ac:dyDescent="0.3">
      <c r="A614" s="1">
        <v>45689</v>
      </c>
      <c r="B614">
        <v>2025</v>
      </c>
      <c r="C614" t="str">
        <f>TEXT(Transformed_Data\[[#This Row],[Date]],"mmm")</f>
        <v>Feb</v>
      </c>
      <c r="D614" s="8">
        <v>7059</v>
      </c>
      <c r="E614" s="8">
        <v>41161</v>
      </c>
      <c r="F614" s="8">
        <v>64000</v>
      </c>
      <c r="G614" s="8">
        <v>22839</v>
      </c>
      <c r="H614" s="2">
        <v>0.35685937499999998</v>
      </c>
      <c r="I614" t="s">
        <v>3</v>
      </c>
      <c r="J614" s="8">
        <v>2713</v>
      </c>
    </row>
    <row r="615" spans="1:10" x14ac:dyDescent="0.3">
      <c r="A615" s="1">
        <v>45689</v>
      </c>
      <c r="B615">
        <v>2025</v>
      </c>
      <c r="C615" t="str">
        <f>TEXT(Transformed_Data\[[#This Row],[Date]],"mmm")</f>
        <v>Feb</v>
      </c>
      <c r="D615" s="8">
        <v>7059</v>
      </c>
      <c r="E615" s="8">
        <v>41161</v>
      </c>
      <c r="F615" s="8">
        <v>64000</v>
      </c>
      <c r="G615" s="8">
        <v>22839</v>
      </c>
      <c r="H615" s="2">
        <v>0.35685937499999998</v>
      </c>
      <c r="I615" t="s">
        <v>4</v>
      </c>
      <c r="J615" s="8">
        <v>923</v>
      </c>
    </row>
    <row r="616" spans="1:10" x14ac:dyDescent="0.3">
      <c r="A616" s="1">
        <v>45689</v>
      </c>
      <c r="B616">
        <v>2025</v>
      </c>
      <c r="C616" t="str">
        <f>TEXT(Transformed_Data\[[#This Row],[Date]],"mmm")</f>
        <v>Feb</v>
      </c>
      <c r="D616" s="8">
        <v>7059</v>
      </c>
      <c r="E616" s="8">
        <v>41161</v>
      </c>
      <c r="F616" s="8">
        <v>64000</v>
      </c>
      <c r="G616" s="8">
        <v>22839</v>
      </c>
      <c r="H616" s="2">
        <v>0.35685937499999998</v>
      </c>
      <c r="I616" t="s">
        <v>5</v>
      </c>
      <c r="J616" s="8">
        <v>1536</v>
      </c>
    </row>
    <row r="617" spans="1:10" x14ac:dyDescent="0.3">
      <c r="A617" s="1">
        <v>45689</v>
      </c>
      <c r="B617">
        <v>2025</v>
      </c>
      <c r="C617" t="str">
        <f>TEXT(Transformed_Data\[[#This Row],[Date]],"mmm")</f>
        <v>Feb</v>
      </c>
      <c r="D617" s="8">
        <v>7059</v>
      </c>
      <c r="E617" s="8">
        <v>41161</v>
      </c>
      <c r="F617" s="8">
        <v>64000</v>
      </c>
      <c r="G617" s="8">
        <v>22839</v>
      </c>
      <c r="H617" s="2">
        <v>0.35685937499999998</v>
      </c>
      <c r="I617" t="s">
        <v>6</v>
      </c>
      <c r="J617" s="8">
        <v>2162</v>
      </c>
    </row>
    <row r="618" spans="1:10" x14ac:dyDescent="0.3">
      <c r="A618" s="1">
        <v>45689</v>
      </c>
      <c r="B618">
        <v>2025</v>
      </c>
      <c r="C618" t="str">
        <f>TEXT(Transformed_Data\[[#This Row],[Date]],"mmm")</f>
        <v>Feb</v>
      </c>
      <c r="D618" s="8">
        <v>7059</v>
      </c>
      <c r="E618" s="8">
        <v>41161</v>
      </c>
      <c r="F618" s="8">
        <v>64000</v>
      </c>
      <c r="G618" s="8">
        <v>22839</v>
      </c>
      <c r="H618" s="2">
        <v>0.35685937499999998</v>
      </c>
      <c r="I618" t="s">
        <v>7</v>
      </c>
      <c r="J618" s="8">
        <v>8814</v>
      </c>
    </row>
    <row r="619" spans="1:10" x14ac:dyDescent="0.3">
      <c r="A619" s="1">
        <v>45689</v>
      </c>
      <c r="B619">
        <v>2025</v>
      </c>
      <c r="C619" t="str">
        <f>TEXT(Transformed_Data\[[#This Row],[Date]],"mmm")</f>
        <v>Feb</v>
      </c>
      <c r="D619" s="8">
        <v>7059</v>
      </c>
      <c r="E619" s="8">
        <v>41161</v>
      </c>
      <c r="F619" s="8">
        <v>64000</v>
      </c>
      <c r="G619" s="8">
        <v>22839</v>
      </c>
      <c r="H619" s="2">
        <v>0.35685937499999998</v>
      </c>
      <c r="I619" t="s">
        <v>9</v>
      </c>
      <c r="J619" s="8">
        <v>0</v>
      </c>
    </row>
    <row r="620" spans="1:10" x14ac:dyDescent="0.3">
      <c r="A620" s="1">
        <v>45689</v>
      </c>
      <c r="B620">
        <v>2025</v>
      </c>
      <c r="C620" t="str">
        <f>TEXT(Transformed_Data\[[#This Row],[Date]],"mmm")</f>
        <v>Feb</v>
      </c>
      <c r="D620" s="8">
        <v>7059</v>
      </c>
      <c r="E620" s="8">
        <v>41161</v>
      </c>
      <c r="F620" s="8">
        <v>64000</v>
      </c>
      <c r="G620" s="8">
        <v>22839</v>
      </c>
      <c r="H620" s="2">
        <v>0.35685937499999998</v>
      </c>
      <c r="I620" t="s">
        <v>10</v>
      </c>
      <c r="J620" s="8">
        <v>3048</v>
      </c>
    </row>
    <row r="621" spans="1:10" x14ac:dyDescent="0.3">
      <c r="A621" s="1">
        <v>45689</v>
      </c>
      <c r="B621">
        <v>2025</v>
      </c>
      <c r="C621" t="str">
        <f>TEXT(Transformed_Data\[[#This Row],[Date]],"mmm")</f>
        <v>Feb</v>
      </c>
      <c r="D621" s="8">
        <v>7059</v>
      </c>
      <c r="E621" s="8">
        <v>41161</v>
      </c>
      <c r="F621" s="8">
        <v>64000</v>
      </c>
      <c r="G621" s="8">
        <v>22839</v>
      </c>
      <c r="H621" s="2">
        <v>0.35685937499999998</v>
      </c>
      <c r="I621" t="s">
        <v>11</v>
      </c>
      <c r="J621" s="8">
        <v>1278</v>
      </c>
    </row>
    <row r="622" spans="1:10" x14ac:dyDescent="0.3">
      <c r="A622" s="1">
        <v>45717</v>
      </c>
      <c r="B622">
        <v>2025</v>
      </c>
      <c r="C622" t="str">
        <f>TEXT(Transformed_Data\[[#This Row],[Date]],"mmm")</f>
        <v>Mar</v>
      </c>
      <c r="D622" s="8">
        <v>8890</v>
      </c>
      <c r="E622" s="8">
        <v>40773</v>
      </c>
      <c r="F622" s="8">
        <v>64000</v>
      </c>
      <c r="G622" s="8">
        <v>23227</v>
      </c>
      <c r="H622" s="2">
        <v>0.362921875</v>
      </c>
      <c r="I622" t="s">
        <v>1</v>
      </c>
      <c r="J622" s="8">
        <v>7296</v>
      </c>
    </row>
    <row r="623" spans="1:10" x14ac:dyDescent="0.3">
      <c r="A623" s="1">
        <v>45717</v>
      </c>
      <c r="B623">
        <v>2025</v>
      </c>
      <c r="C623" t="str">
        <f>TEXT(Transformed_Data\[[#This Row],[Date]],"mmm")</f>
        <v>Mar</v>
      </c>
      <c r="D623" s="8">
        <v>8890</v>
      </c>
      <c r="E623" s="8">
        <v>40773</v>
      </c>
      <c r="F623" s="8">
        <v>64000</v>
      </c>
      <c r="G623" s="8">
        <v>23227</v>
      </c>
      <c r="H623" s="2">
        <v>0.362921875</v>
      </c>
      <c r="I623" t="s">
        <v>2</v>
      </c>
      <c r="J623" s="8">
        <v>13000</v>
      </c>
    </row>
    <row r="624" spans="1:10" x14ac:dyDescent="0.3">
      <c r="A624" s="1">
        <v>45717</v>
      </c>
      <c r="B624">
        <v>2025</v>
      </c>
      <c r="C624" t="str">
        <f>TEXT(Transformed_Data\[[#This Row],[Date]],"mmm")</f>
        <v>Mar</v>
      </c>
      <c r="D624" s="8">
        <v>8890</v>
      </c>
      <c r="E624" s="8">
        <v>40773</v>
      </c>
      <c r="F624" s="8">
        <v>64000</v>
      </c>
      <c r="G624" s="8">
        <v>23227</v>
      </c>
      <c r="H624" s="2">
        <v>0.362921875</v>
      </c>
      <c r="I624" t="s">
        <v>3</v>
      </c>
      <c r="J624" s="8">
        <v>2095</v>
      </c>
    </row>
    <row r="625" spans="1:10" x14ac:dyDescent="0.3">
      <c r="A625" s="1">
        <v>45717</v>
      </c>
      <c r="B625">
        <v>2025</v>
      </c>
      <c r="C625" t="str">
        <f>TEXT(Transformed_Data\[[#This Row],[Date]],"mmm")</f>
        <v>Mar</v>
      </c>
      <c r="D625" s="8">
        <v>8890</v>
      </c>
      <c r="E625" s="8">
        <v>40773</v>
      </c>
      <c r="F625" s="8">
        <v>64000</v>
      </c>
      <c r="G625" s="8">
        <v>23227</v>
      </c>
      <c r="H625" s="2">
        <v>0.362921875</v>
      </c>
      <c r="I625" t="s">
        <v>4</v>
      </c>
      <c r="J625" s="8">
        <v>1067</v>
      </c>
    </row>
    <row r="626" spans="1:10" x14ac:dyDescent="0.3">
      <c r="A626" s="1">
        <v>45717</v>
      </c>
      <c r="B626">
        <v>2025</v>
      </c>
      <c r="C626" t="str">
        <f>TEXT(Transformed_Data\[[#This Row],[Date]],"mmm")</f>
        <v>Mar</v>
      </c>
      <c r="D626" s="8">
        <v>8890</v>
      </c>
      <c r="E626" s="8">
        <v>40773</v>
      </c>
      <c r="F626" s="8">
        <v>64000</v>
      </c>
      <c r="G626" s="8">
        <v>23227</v>
      </c>
      <c r="H626" s="2">
        <v>0.362921875</v>
      </c>
      <c r="I626" t="s">
        <v>5</v>
      </c>
      <c r="J626" s="8">
        <v>2228</v>
      </c>
    </row>
    <row r="627" spans="1:10" x14ac:dyDescent="0.3">
      <c r="A627" s="1">
        <v>45717</v>
      </c>
      <c r="B627">
        <v>2025</v>
      </c>
      <c r="C627" t="str">
        <f>TEXT(Transformed_Data\[[#This Row],[Date]],"mmm")</f>
        <v>Mar</v>
      </c>
      <c r="D627" s="8">
        <v>8890</v>
      </c>
      <c r="E627" s="8">
        <v>40773</v>
      </c>
      <c r="F627" s="8">
        <v>64000</v>
      </c>
      <c r="G627" s="8">
        <v>23227</v>
      </c>
      <c r="H627" s="2">
        <v>0.362921875</v>
      </c>
      <c r="I627" t="s">
        <v>6</v>
      </c>
      <c r="J627" s="8">
        <v>1561</v>
      </c>
    </row>
    <row r="628" spans="1:10" x14ac:dyDescent="0.3">
      <c r="A628" s="1">
        <v>45717</v>
      </c>
      <c r="B628">
        <v>2025</v>
      </c>
      <c r="C628" t="str">
        <f>TEXT(Transformed_Data\[[#This Row],[Date]],"mmm")</f>
        <v>Mar</v>
      </c>
      <c r="D628" s="8">
        <v>8890</v>
      </c>
      <c r="E628" s="8">
        <v>40773</v>
      </c>
      <c r="F628" s="8">
        <v>64000</v>
      </c>
      <c r="G628" s="8">
        <v>23227</v>
      </c>
      <c r="H628" s="2">
        <v>0.362921875</v>
      </c>
      <c r="I628" t="s">
        <v>7</v>
      </c>
      <c r="J628" s="8">
        <v>9265</v>
      </c>
    </row>
    <row r="629" spans="1:10" x14ac:dyDescent="0.3">
      <c r="A629" s="1">
        <v>45717</v>
      </c>
      <c r="B629">
        <v>2025</v>
      </c>
      <c r="C629" t="str">
        <f>TEXT(Transformed_Data\[[#This Row],[Date]],"mmm")</f>
        <v>Mar</v>
      </c>
      <c r="D629" s="8">
        <v>8890</v>
      </c>
      <c r="E629" s="8">
        <v>40773</v>
      </c>
      <c r="F629" s="8">
        <v>64000</v>
      </c>
      <c r="G629" s="8">
        <v>23227</v>
      </c>
      <c r="H629" s="2">
        <v>0.362921875</v>
      </c>
      <c r="I629" t="s">
        <v>9</v>
      </c>
      <c r="J629" s="8">
        <v>0</v>
      </c>
    </row>
    <row r="630" spans="1:10" x14ac:dyDescent="0.3">
      <c r="A630" s="1">
        <v>45717</v>
      </c>
      <c r="B630">
        <v>2025</v>
      </c>
      <c r="C630" t="str">
        <f>TEXT(Transformed_Data\[[#This Row],[Date]],"mmm")</f>
        <v>Mar</v>
      </c>
      <c r="D630" s="8">
        <v>8890</v>
      </c>
      <c r="E630" s="8">
        <v>40773</v>
      </c>
      <c r="F630" s="8">
        <v>64000</v>
      </c>
      <c r="G630" s="8">
        <v>23227</v>
      </c>
      <c r="H630" s="2">
        <v>0.362921875</v>
      </c>
      <c r="I630" t="s">
        <v>10</v>
      </c>
      <c r="J630" s="8">
        <v>2865</v>
      </c>
    </row>
    <row r="631" spans="1:10" x14ac:dyDescent="0.3">
      <c r="A631" s="1">
        <v>45717</v>
      </c>
      <c r="B631">
        <v>2025</v>
      </c>
      <c r="C631" t="str">
        <f>TEXT(Transformed_Data\[[#This Row],[Date]],"mmm")</f>
        <v>Mar</v>
      </c>
      <c r="D631" s="8">
        <v>8890</v>
      </c>
      <c r="E631" s="8">
        <v>40773</v>
      </c>
      <c r="F631" s="8">
        <v>64000</v>
      </c>
      <c r="G631" s="8">
        <v>23227</v>
      </c>
      <c r="H631" s="2">
        <v>0.362921875</v>
      </c>
      <c r="I631" t="s">
        <v>11</v>
      </c>
      <c r="J631" s="8">
        <v>1396</v>
      </c>
    </row>
    <row r="632" spans="1:10" x14ac:dyDescent="0.3">
      <c r="A632" s="1">
        <v>45748</v>
      </c>
      <c r="B632">
        <v>2025</v>
      </c>
      <c r="C632" t="str">
        <f>TEXT(Transformed_Data\[[#This Row],[Date]],"mmm")</f>
        <v>Apr</v>
      </c>
      <c r="D632" s="8">
        <v>10731</v>
      </c>
      <c r="E632" s="8">
        <v>39451</v>
      </c>
      <c r="F632" s="8">
        <v>64000</v>
      </c>
      <c r="G632" s="8">
        <v>24549</v>
      </c>
      <c r="H632" s="2">
        <v>0.38357812499999999</v>
      </c>
      <c r="I632" t="s">
        <v>1</v>
      </c>
      <c r="J632" s="8">
        <v>6395</v>
      </c>
    </row>
    <row r="633" spans="1:10" x14ac:dyDescent="0.3">
      <c r="A633" s="1">
        <v>45748</v>
      </c>
      <c r="B633">
        <v>2025</v>
      </c>
      <c r="C633" t="str">
        <f>TEXT(Transformed_Data\[[#This Row],[Date]],"mmm")</f>
        <v>Apr</v>
      </c>
      <c r="D633" s="8">
        <v>10731</v>
      </c>
      <c r="E633" s="8">
        <v>39451</v>
      </c>
      <c r="F633" s="8">
        <v>64000</v>
      </c>
      <c r="G633" s="8">
        <v>24549</v>
      </c>
      <c r="H633" s="2">
        <v>0.38357812499999999</v>
      </c>
      <c r="I633" t="s">
        <v>2</v>
      </c>
      <c r="J633" s="8">
        <v>13000</v>
      </c>
    </row>
    <row r="634" spans="1:10" x14ac:dyDescent="0.3">
      <c r="A634" s="1">
        <v>45748</v>
      </c>
      <c r="B634">
        <v>2025</v>
      </c>
      <c r="C634" t="str">
        <f>TEXT(Transformed_Data\[[#This Row],[Date]],"mmm")</f>
        <v>Apr</v>
      </c>
      <c r="D634" s="8">
        <v>10731</v>
      </c>
      <c r="E634" s="8">
        <v>39451</v>
      </c>
      <c r="F634" s="8">
        <v>64000</v>
      </c>
      <c r="G634" s="8">
        <v>24549</v>
      </c>
      <c r="H634" s="2">
        <v>0.38357812499999999</v>
      </c>
      <c r="I634" t="s">
        <v>3</v>
      </c>
      <c r="J634" s="8">
        <v>2756</v>
      </c>
    </row>
    <row r="635" spans="1:10" x14ac:dyDescent="0.3">
      <c r="A635" s="1">
        <v>45748</v>
      </c>
      <c r="B635">
        <v>2025</v>
      </c>
      <c r="C635" t="str">
        <f>TEXT(Transformed_Data\[[#This Row],[Date]],"mmm")</f>
        <v>Apr</v>
      </c>
      <c r="D635" s="8">
        <v>10731</v>
      </c>
      <c r="E635" s="8">
        <v>39451</v>
      </c>
      <c r="F635" s="8">
        <v>64000</v>
      </c>
      <c r="G635" s="8">
        <v>24549</v>
      </c>
      <c r="H635" s="2">
        <v>0.38357812499999999</v>
      </c>
      <c r="I635" t="s">
        <v>4</v>
      </c>
      <c r="J635" s="8">
        <v>1102</v>
      </c>
    </row>
    <row r="636" spans="1:10" x14ac:dyDescent="0.3">
      <c r="A636" s="1">
        <v>45748</v>
      </c>
      <c r="B636">
        <v>2025</v>
      </c>
      <c r="C636" t="str">
        <f>TEXT(Transformed_Data\[[#This Row],[Date]],"mmm")</f>
        <v>Apr</v>
      </c>
      <c r="D636" s="8">
        <v>10731</v>
      </c>
      <c r="E636" s="8">
        <v>39451</v>
      </c>
      <c r="F636" s="8">
        <v>64000</v>
      </c>
      <c r="G636" s="8">
        <v>24549</v>
      </c>
      <c r="H636" s="2">
        <v>0.38357812499999999</v>
      </c>
      <c r="I636" t="s">
        <v>5</v>
      </c>
      <c r="J636" s="8">
        <v>1575</v>
      </c>
    </row>
    <row r="637" spans="1:10" x14ac:dyDescent="0.3">
      <c r="A637" s="1">
        <v>45748</v>
      </c>
      <c r="B637">
        <v>2025</v>
      </c>
      <c r="C637" t="str">
        <f>TEXT(Transformed_Data\[[#This Row],[Date]],"mmm")</f>
        <v>Apr</v>
      </c>
      <c r="D637" s="8">
        <v>10731</v>
      </c>
      <c r="E637" s="8">
        <v>39451</v>
      </c>
      <c r="F637" s="8">
        <v>64000</v>
      </c>
      <c r="G637" s="8">
        <v>24549</v>
      </c>
      <c r="H637" s="2">
        <v>0.38357812499999999</v>
      </c>
      <c r="I637" t="s">
        <v>6</v>
      </c>
      <c r="J637" s="8">
        <v>1944</v>
      </c>
    </row>
    <row r="638" spans="1:10" x14ac:dyDescent="0.3">
      <c r="A638" s="1">
        <v>45748</v>
      </c>
      <c r="B638">
        <v>2025</v>
      </c>
      <c r="C638" t="str">
        <f>TEXT(Transformed_Data\[[#This Row],[Date]],"mmm")</f>
        <v>Apr</v>
      </c>
      <c r="D638" s="8">
        <v>10731</v>
      </c>
      <c r="E638" s="8">
        <v>39451</v>
      </c>
      <c r="F638" s="8">
        <v>64000</v>
      </c>
      <c r="G638" s="8">
        <v>24549</v>
      </c>
      <c r="H638" s="2">
        <v>0.38357812499999999</v>
      </c>
      <c r="I638" t="s">
        <v>7</v>
      </c>
      <c r="J638" s="8">
        <v>9461</v>
      </c>
    </row>
    <row r="639" spans="1:10" x14ac:dyDescent="0.3">
      <c r="A639" s="1">
        <v>45748</v>
      </c>
      <c r="B639">
        <v>2025</v>
      </c>
      <c r="C639" t="str">
        <f>TEXT(Transformed_Data\[[#This Row],[Date]],"mmm")</f>
        <v>Apr</v>
      </c>
      <c r="D639" s="8">
        <v>10731</v>
      </c>
      <c r="E639" s="8">
        <v>39451</v>
      </c>
      <c r="F639" s="8">
        <v>64000</v>
      </c>
      <c r="G639" s="8">
        <v>24549</v>
      </c>
      <c r="H639" s="2">
        <v>0.38357812499999999</v>
      </c>
      <c r="I639" t="s">
        <v>9</v>
      </c>
      <c r="J639" s="8">
        <v>0</v>
      </c>
    </row>
    <row r="640" spans="1:10" x14ac:dyDescent="0.3">
      <c r="A640" s="1">
        <v>45748</v>
      </c>
      <c r="B640">
        <v>2025</v>
      </c>
      <c r="C640" t="str">
        <f>TEXT(Transformed_Data\[[#This Row],[Date]],"mmm")</f>
        <v>Apr</v>
      </c>
      <c r="D640" s="8">
        <v>10731</v>
      </c>
      <c r="E640" s="8">
        <v>39451</v>
      </c>
      <c r="F640" s="8">
        <v>64000</v>
      </c>
      <c r="G640" s="8">
        <v>24549</v>
      </c>
      <c r="H640" s="2">
        <v>0.38357812499999999</v>
      </c>
      <c r="I640" t="s">
        <v>10</v>
      </c>
      <c r="J640" s="8">
        <v>1764</v>
      </c>
    </row>
    <row r="641" spans="1:10" x14ac:dyDescent="0.3">
      <c r="A641" s="1">
        <v>45748</v>
      </c>
      <c r="B641">
        <v>2025</v>
      </c>
      <c r="C641" t="str">
        <f>TEXT(Transformed_Data\[[#This Row],[Date]],"mmm")</f>
        <v>Apr</v>
      </c>
      <c r="D641" s="8">
        <v>10731</v>
      </c>
      <c r="E641" s="8">
        <v>39451</v>
      </c>
      <c r="F641" s="8">
        <v>64000</v>
      </c>
      <c r="G641" s="8">
        <v>24549</v>
      </c>
      <c r="H641" s="2">
        <v>0.38357812499999999</v>
      </c>
      <c r="I641" t="s">
        <v>11</v>
      </c>
      <c r="J641" s="8">
        <v>1454</v>
      </c>
    </row>
    <row r="642" spans="1:10" x14ac:dyDescent="0.3">
      <c r="A642" s="1">
        <v>45778</v>
      </c>
      <c r="B642">
        <v>2025</v>
      </c>
      <c r="C642" t="str">
        <f>TEXT(Transformed_Data\[[#This Row],[Date]],"mmm")</f>
        <v>May</v>
      </c>
      <c r="D642" s="8">
        <v>7761</v>
      </c>
      <c r="E642" s="8">
        <v>39137</v>
      </c>
      <c r="F642" s="8">
        <v>64000</v>
      </c>
      <c r="G642" s="8">
        <v>24863</v>
      </c>
      <c r="H642" s="2">
        <v>0.38848437499999999</v>
      </c>
      <c r="I642" t="s">
        <v>1</v>
      </c>
      <c r="J642" s="8">
        <v>6850</v>
      </c>
    </row>
    <row r="643" spans="1:10" x14ac:dyDescent="0.3">
      <c r="A643" s="1">
        <v>45778</v>
      </c>
      <c r="B643">
        <v>2025</v>
      </c>
      <c r="C643" t="str">
        <f>TEXT(Transformed_Data\[[#This Row],[Date]],"mmm")</f>
        <v>May</v>
      </c>
      <c r="D643" s="8">
        <v>7761</v>
      </c>
      <c r="E643" s="8">
        <v>39137</v>
      </c>
      <c r="F643" s="8">
        <v>64000</v>
      </c>
      <c r="G643" s="8">
        <v>24863</v>
      </c>
      <c r="H643" s="2">
        <v>0.38848437499999999</v>
      </c>
      <c r="I643" t="s">
        <v>2</v>
      </c>
      <c r="J643" s="8">
        <v>13000</v>
      </c>
    </row>
    <row r="644" spans="1:10" x14ac:dyDescent="0.3">
      <c r="A644" s="1">
        <v>45778</v>
      </c>
      <c r="B644">
        <v>2025</v>
      </c>
      <c r="C644" t="str">
        <f>TEXT(Transformed_Data\[[#This Row],[Date]],"mmm")</f>
        <v>May</v>
      </c>
      <c r="D644" s="8">
        <v>7761</v>
      </c>
      <c r="E644" s="8">
        <v>39137</v>
      </c>
      <c r="F644" s="8">
        <v>64000</v>
      </c>
      <c r="G644" s="8">
        <v>24863</v>
      </c>
      <c r="H644" s="2">
        <v>0.38848437499999999</v>
      </c>
      <c r="I644" t="s">
        <v>3</v>
      </c>
      <c r="J644" s="8">
        <v>1643</v>
      </c>
    </row>
    <row r="645" spans="1:10" x14ac:dyDescent="0.3">
      <c r="A645" s="1">
        <v>45778</v>
      </c>
      <c r="B645">
        <v>2025</v>
      </c>
      <c r="C645" t="str">
        <f>TEXT(Transformed_Data\[[#This Row],[Date]],"mmm")</f>
        <v>May</v>
      </c>
      <c r="D645" s="8">
        <v>7761</v>
      </c>
      <c r="E645" s="8">
        <v>39137</v>
      </c>
      <c r="F645" s="8">
        <v>64000</v>
      </c>
      <c r="G645" s="8">
        <v>24863</v>
      </c>
      <c r="H645" s="2">
        <v>0.38848437499999999</v>
      </c>
      <c r="I645" t="s">
        <v>4</v>
      </c>
      <c r="J645" s="8">
        <v>1072</v>
      </c>
    </row>
    <row r="646" spans="1:10" x14ac:dyDescent="0.3">
      <c r="A646" s="1">
        <v>45778</v>
      </c>
      <c r="B646">
        <v>2025</v>
      </c>
      <c r="C646" t="str">
        <f>TEXT(Transformed_Data\[[#This Row],[Date]],"mmm")</f>
        <v>May</v>
      </c>
      <c r="D646" s="8">
        <v>7761</v>
      </c>
      <c r="E646" s="8">
        <v>39137</v>
      </c>
      <c r="F646" s="8">
        <v>64000</v>
      </c>
      <c r="G646" s="8">
        <v>24863</v>
      </c>
      <c r="H646" s="2">
        <v>0.38848437499999999</v>
      </c>
      <c r="I646" t="s">
        <v>5</v>
      </c>
      <c r="J646" s="8">
        <v>1568</v>
      </c>
    </row>
    <row r="647" spans="1:10" x14ac:dyDescent="0.3">
      <c r="A647" s="1">
        <v>45778</v>
      </c>
      <c r="B647">
        <v>2025</v>
      </c>
      <c r="C647" t="str">
        <f>TEXT(Transformed_Data\[[#This Row],[Date]],"mmm")</f>
        <v>May</v>
      </c>
      <c r="D647" s="8">
        <v>7761</v>
      </c>
      <c r="E647" s="8">
        <v>39137</v>
      </c>
      <c r="F647" s="8">
        <v>64000</v>
      </c>
      <c r="G647" s="8">
        <v>24863</v>
      </c>
      <c r="H647" s="2">
        <v>0.38848437499999999</v>
      </c>
      <c r="I647" t="s">
        <v>6</v>
      </c>
      <c r="J647" s="8">
        <v>2890</v>
      </c>
    </row>
    <row r="648" spans="1:10" x14ac:dyDescent="0.3">
      <c r="A648" s="1">
        <v>45778</v>
      </c>
      <c r="B648">
        <v>2025</v>
      </c>
      <c r="C648" t="str">
        <f>TEXT(Transformed_Data\[[#This Row],[Date]],"mmm")</f>
        <v>May</v>
      </c>
      <c r="D648" s="8">
        <v>7761</v>
      </c>
      <c r="E648" s="8">
        <v>39137</v>
      </c>
      <c r="F648" s="8">
        <v>64000</v>
      </c>
      <c r="G648" s="8">
        <v>24863</v>
      </c>
      <c r="H648" s="2">
        <v>0.38848437499999999</v>
      </c>
      <c r="I648" t="s">
        <v>7</v>
      </c>
      <c r="J648" s="8">
        <v>8171</v>
      </c>
    </row>
    <row r="649" spans="1:10" x14ac:dyDescent="0.3">
      <c r="A649" s="1">
        <v>45778</v>
      </c>
      <c r="B649">
        <v>2025</v>
      </c>
      <c r="C649" t="str">
        <f>TEXT(Transformed_Data\[[#This Row],[Date]],"mmm")</f>
        <v>May</v>
      </c>
      <c r="D649" s="8">
        <v>7761</v>
      </c>
      <c r="E649" s="8">
        <v>39137</v>
      </c>
      <c r="F649" s="8">
        <v>64000</v>
      </c>
      <c r="G649" s="8">
        <v>24863</v>
      </c>
      <c r="H649" s="2">
        <v>0.38848437499999999</v>
      </c>
      <c r="I649" t="s">
        <v>9</v>
      </c>
      <c r="J649" s="8">
        <v>0</v>
      </c>
    </row>
    <row r="650" spans="1:10" x14ac:dyDescent="0.3">
      <c r="A650" s="1">
        <v>45778</v>
      </c>
      <c r="B650">
        <v>2025</v>
      </c>
      <c r="C650" t="str">
        <f>TEXT(Transformed_Data\[[#This Row],[Date]],"mmm")</f>
        <v>May</v>
      </c>
      <c r="D650" s="8">
        <v>7761</v>
      </c>
      <c r="E650" s="8">
        <v>39137</v>
      </c>
      <c r="F650" s="8">
        <v>64000</v>
      </c>
      <c r="G650" s="8">
        <v>24863</v>
      </c>
      <c r="H650" s="2">
        <v>0.38848437499999999</v>
      </c>
      <c r="I650" t="s">
        <v>10</v>
      </c>
      <c r="J650" s="8">
        <v>1895</v>
      </c>
    </row>
    <row r="651" spans="1:10" x14ac:dyDescent="0.3">
      <c r="A651" s="1">
        <v>45778</v>
      </c>
      <c r="B651">
        <v>2025</v>
      </c>
      <c r="C651" t="str">
        <f>TEXT(Transformed_Data\[[#This Row],[Date]],"mmm")</f>
        <v>May</v>
      </c>
      <c r="D651" s="8">
        <v>7761</v>
      </c>
      <c r="E651" s="8">
        <v>39137</v>
      </c>
      <c r="F651" s="8">
        <v>64000</v>
      </c>
      <c r="G651" s="8">
        <v>24863</v>
      </c>
      <c r="H651" s="2">
        <v>0.38848437499999999</v>
      </c>
      <c r="I651" t="s">
        <v>11</v>
      </c>
      <c r="J651" s="8">
        <v>2048</v>
      </c>
    </row>
    <row r="652" spans="1:10" x14ac:dyDescent="0.3">
      <c r="A652" s="1">
        <v>45809</v>
      </c>
      <c r="B652">
        <v>2025</v>
      </c>
      <c r="C652" t="str">
        <f>TEXT(Transformed_Data\[[#This Row],[Date]],"mmm")</f>
        <v>Jun</v>
      </c>
      <c r="D652" s="8">
        <v>9916</v>
      </c>
      <c r="E652" s="8">
        <v>39155</v>
      </c>
      <c r="F652" s="8">
        <v>64000</v>
      </c>
      <c r="G652" s="8">
        <v>24845</v>
      </c>
      <c r="H652" s="2">
        <v>0.38820312499999998</v>
      </c>
      <c r="I652" t="s">
        <v>1</v>
      </c>
      <c r="J652" s="8">
        <v>7167</v>
      </c>
    </row>
    <row r="653" spans="1:10" x14ac:dyDescent="0.3">
      <c r="A653" s="1">
        <v>45809</v>
      </c>
      <c r="B653">
        <v>2025</v>
      </c>
      <c r="C653" t="str">
        <f>TEXT(Transformed_Data\[[#This Row],[Date]],"mmm")</f>
        <v>Jun</v>
      </c>
      <c r="D653" s="8">
        <v>9916</v>
      </c>
      <c r="E653" s="8">
        <v>39155</v>
      </c>
      <c r="F653" s="8">
        <v>64000</v>
      </c>
      <c r="G653" s="8">
        <v>24845</v>
      </c>
      <c r="H653" s="2">
        <v>0.38820312499999998</v>
      </c>
      <c r="I653" t="s">
        <v>2</v>
      </c>
      <c r="J653" s="8">
        <v>13000</v>
      </c>
    </row>
    <row r="654" spans="1:10" x14ac:dyDescent="0.3">
      <c r="A654" s="1">
        <v>45809</v>
      </c>
      <c r="B654">
        <v>2025</v>
      </c>
      <c r="C654" t="str">
        <f>TEXT(Transformed_Data\[[#This Row],[Date]],"mmm")</f>
        <v>Jun</v>
      </c>
      <c r="D654" s="8">
        <v>9916</v>
      </c>
      <c r="E654" s="8">
        <v>39155</v>
      </c>
      <c r="F654" s="8">
        <v>64000</v>
      </c>
      <c r="G654" s="8">
        <v>24845</v>
      </c>
      <c r="H654" s="2">
        <v>0.38820312499999998</v>
      </c>
      <c r="I654" t="s">
        <v>3</v>
      </c>
      <c r="J654" s="8">
        <v>2562</v>
      </c>
    </row>
    <row r="655" spans="1:10" x14ac:dyDescent="0.3">
      <c r="A655" s="1">
        <v>45809</v>
      </c>
      <c r="B655">
        <v>2025</v>
      </c>
      <c r="C655" t="str">
        <f>TEXT(Transformed_Data\[[#This Row],[Date]],"mmm")</f>
        <v>Jun</v>
      </c>
      <c r="D655" s="8">
        <v>9916</v>
      </c>
      <c r="E655" s="8">
        <v>39155</v>
      </c>
      <c r="F655" s="8">
        <v>64000</v>
      </c>
      <c r="G655" s="8">
        <v>24845</v>
      </c>
      <c r="H655" s="2">
        <v>0.38820312499999998</v>
      </c>
      <c r="I655" t="s">
        <v>4</v>
      </c>
      <c r="J655" s="8">
        <v>808</v>
      </c>
    </row>
    <row r="656" spans="1:10" x14ac:dyDescent="0.3">
      <c r="A656" s="1">
        <v>45809</v>
      </c>
      <c r="B656">
        <v>2025</v>
      </c>
      <c r="C656" t="str">
        <f>TEXT(Transformed_Data\[[#This Row],[Date]],"mmm")</f>
        <v>Jun</v>
      </c>
      <c r="D656" s="8">
        <v>9916</v>
      </c>
      <c r="E656" s="8">
        <v>39155</v>
      </c>
      <c r="F656" s="8">
        <v>64000</v>
      </c>
      <c r="G656" s="8">
        <v>24845</v>
      </c>
      <c r="H656" s="2">
        <v>0.38820312499999998</v>
      </c>
      <c r="I656" t="s">
        <v>5</v>
      </c>
      <c r="J656" s="8">
        <v>2192</v>
      </c>
    </row>
    <row r="657" spans="1:10" x14ac:dyDescent="0.3">
      <c r="A657" s="1">
        <v>45809</v>
      </c>
      <c r="B657">
        <v>2025</v>
      </c>
      <c r="C657" t="str">
        <f>TEXT(Transformed_Data\[[#This Row],[Date]],"mmm")</f>
        <v>Jun</v>
      </c>
      <c r="D657" s="8">
        <v>9916</v>
      </c>
      <c r="E657" s="8">
        <v>39155</v>
      </c>
      <c r="F657" s="8">
        <v>64000</v>
      </c>
      <c r="G657" s="8">
        <v>24845</v>
      </c>
      <c r="H657" s="2">
        <v>0.38820312499999998</v>
      </c>
      <c r="I657" t="s">
        <v>6</v>
      </c>
      <c r="J657" s="8">
        <v>2068</v>
      </c>
    </row>
    <row r="658" spans="1:10" x14ac:dyDescent="0.3">
      <c r="A658" s="1">
        <v>45809</v>
      </c>
      <c r="B658">
        <v>2025</v>
      </c>
      <c r="C658" t="str">
        <f>TEXT(Transformed_Data\[[#This Row],[Date]],"mmm")</f>
        <v>Jun</v>
      </c>
      <c r="D658" s="8">
        <v>9916</v>
      </c>
      <c r="E658" s="8">
        <v>39155</v>
      </c>
      <c r="F658" s="8">
        <v>64000</v>
      </c>
      <c r="G658" s="8">
        <v>24845</v>
      </c>
      <c r="H658" s="2">
        <v>0.38820312499999998</v>
      </c>
      <c r="I658" t="s">
        <v>7</v>
      </c>
      <c r="J658" s="8">
        <v>6584</v>
      </c>
    </row>
    <row r="659" spans="1:10" x14ac:dyDescent="0.3">
      <c r="A659" s="1">
        <v>45809</v>
      </c>
      <c r="B659">
        <v>2025</v>
      </c>
      <c r="C659" t="str">
        <f>TEXT(Transformed_Data\[[#This Row],[Date]],"mmm")</f>
        <v>Jun</v>
      </c>
      <c r="D659" s="8">
        <v>9916</v>
      </c>
      <c r="E659" s="8">
        <v>39155</v>
      </c>
      <c r="F659" s="8">
        <v>64000</v>
      </c>
      <c r="G659" s="8">
        <v>24845</v>
      </c>
      <c r="H659" s="2">
        <v>0.38820312499999998</v>
      </c>
      <c r="I659" t="s">
        <v>9</v>
      </c>
      <c r="J659" s="8">
        <v>0</v>
      </c>
    </row>
    <row r="660" spans="1:10" x14ac:dyDescent="0.3">
      <c r="A660" s="1">
        <v>45809</v>
      </c>
      <c r="B660">
        <v>2025</v>
      </c>
      <c r="C660" t="str">
        <f>TEXT(Transformed_Data\[[#This Row],[Date]],"mmm")</f>
        <v>Jun</v>
      </c>
      <c r="D660" s="8">
        <v>9916</v>
      </c>
      <c r="E660" s="8">
        <v>39155</v>
      </c>
      <c r="F660" s="8">
        <v>64000</v>
      </c>
      <c r="G660" s="8">
        <v>24845</v>
      </c>
      <c r="H660" s="2">
        <v>0.38820312499999998</v>
      </c>
      <c r="I660" t="s">
        <v>10</v>
      </c>
      <c r="J660" s="8">
        <v>2565</v>
      </c>
    </row>
    <row r="661" spans="1:10" x14ac:dyDescent="0.3">
      <c r="A661" s="1">
        <v>45809</v>
      </c>
      <c r="B661">
        <v>2025</v>
      </c>
      <c r="C661" t="str">
        <f>TEXT(Transformed_Data\[[#This Row],[Date]],"mmm")</f>
        <v>Jun</v>
      </c>
      <c r="D661" s="8">
        <v>9916</v>
      </c>
      <c r="E661" s="8">
        <v>39155</v>
      </c>
      <c r="F661" s="8">
        <v>64000</v>
      </c>
      <c r="G661" s="8">
        <v>24845</v>
      </c>
      <c r="H661" s="2">
        <v>0.38820312499999998</v>
      </c>
      <c r="I661" t="s">
        <v>11</v>
      </c>
      <c r="J661" s="8">
        <v>2209</v>
      </c>
    </row>
    <row r="662" spans="1:10" x14ac:dyDescent="0.3">
      <c r="A662" s="1">
        <v>45839</v>
      </c>
      <c r="B662">
        <v>2025</v>
      </c>
      <c r="C662" t="str">
        <f>TEXT(Transformed_Data\[[#This Row],[Date]],"mmm")</f>
        <v>Jul</v>
      </c>
      <c r="D662" s="8">
        <v>11756</v>
      </c>
      <c r="E662" s="8">
        <v>40672</v>
      </c>
      <c r="F662" s="8">
        <v>64000</v>
      </c>
      <c r="G662" s="8">
        <v>23328</v>
      </c>
      <c r="H662" s="2">
        <v>0.36449999999999999</v>
      </c>
      <c r="I662" t="s">
        <v>1</v>
      </c>
      <c r="J662" s="8">
        <v>7156</v>
      </c>
    </row>
    <row r="663" spans="1:10" x14ac:dyDescent="0.3">
      <c r="A663" s="1">
        <v>45839</v>
      </c>
      <c r="B663">
        <v>2025</v>
      </c>
      <c r="C663" t="str">
        <f>TEXT(Transformed_Data\[[#This Row],[Date]],"mmm")</f>
        <v>Jul</v>
      </c>
      <c r="D663" s="8">
        <v>11756</v>
      </c>
      <c r="E663" s="8">
        <v>40672</v>
      </c>
      <c r="F663" s="8">
        <v>64000</v>
      </c>
      <c r="G663" s="8">
        <v>23328</v>
      </c>
      <c r="H663" s="2">
        <v>0.36449999999999999</v>
      </c>
      <c r="I663" t="s">
        <v>2</v>
      </c>
      <c r="J663" s="8">
        <v>13000</v>
      </c>
    </row>
    <row r="664" spans="1:10" x14ac:dyDescent="0.3">
      <c r="A664" s="1">
        <v>45839</v>
      </c>
      <c r="B664">
        <v>2025</v>
      </c>
      <c r="C664" t="str">
        <f>TEXT(Transformed_Data\[[#This Row],[Date]],"mmm")</f>
        <v>Jul</v>
      </c>
      <c r="D664" s="8">
        <v>11756</v>
      </c>
      <c r="E664" s="8">
        <v>40672</v>
      </c>
      <c r="F664" s="8">
        <v>64000</v>
      </c>
      <c r="G664" s="8">
        <v>23328</v>
      </c>
      <c r="H664" s="2">
        <v>0.36449999999999999</v>
      </c>
      <c r="I664" t="s">
        <v>3</v>
      </c>
      <c r="J664" s="8">
        <v>2738</v>
      </c>
    </row>
    <row r="665" spans="1:10" x14ac:dyDescent="0.3">
      <c r="A665" s="1">
        <v>45839</v>
      </c>
      <c r="B665">
        <v>2025</v>
      </c>
      <c r="C665" t="str">
        <f>TEXT(Transformed_Data\[[#This Row],[Date]],"mmm")</f>
        <v>Jul</v>
      </c>
      <c r="D665" s="8">
        <v>11756</v>
      </c>
      <c r="E665" s="8">
        <v>40672</v>
      </c>
      <c r="F665" s="8">
        <v>64000</v>
      </c>
      <c r="G665" s="8">
        <v>23328</v>
      </c>
      <c r="H665" s="2">
        <v>0.36449999999999999</v>
      </c>
      <c r="I665" t="s">
        <v>4</v>
      </c>
      <c r="J665" s="8">
        <v>920</v>
      </c>
    </row>
    <row r="666" spans="1:10" x14ac:dyDescent="0.3">
      <c r="A666" s="1">
        <v>45839</v>
      </c>
      <c r="B666">
        <v>2025</v>
      </c>
      <c r="C666" t="str">
        <f>TEXT(Transformed_Data\[[#This Row],[Date]],"mmm")</f>
        <v>Jul</v>
      </c>
      <c r="D666" s="8">
        <v>11756</v>
      </c>
      <c r="E666" s="8">
        <v>40672</v>
      </c>
      <c r="F666" s="8">
        <v>64000</v>
      </c>
      <c r="G666" s="8">
        <v>23328</v>
      </c>
      <c r="H666" s="2">
        <v>0.36449999999999999</v>
      </c>
      <c r="I666" t="s">
        <v>5</v>
      </c>
      <c r="J666" s="8">
        <v>1734</v>
      </c>
    </row>
    <row r="667" spans="1:10" x14ac:dyDescent="0.3">
      <c r="A667" s="1">
        <v>45839</v>
      </c>
      <c r="B667">
        <v>2025</v>
      </c>
      <c r="C667" t="str">
        <f>TEXT(Transformed_Data\[[#This Row],[Date]],"mmm")</f>
        <v>Jul</v>
      </c>
      <c r="D667" s="8">
        <v>11756</v>
      </c>
      <c r="E667" s="8">
        <v>40672</v>
      </c>
      <c r="F667" s="8">
        <v>64000</v>
      </c>
      <c r="G667" s="8">
        <v>23328</v>
      </c>
      <c r="H667" s="2">
        <v>0.36449999999999999</v>
      </c>
      <c r="I667" t="s">
        <v>6</v>
      </c>
      <c r="J667" s="8">
        <v>2686</v>
      </c>
    </row>
    <row r="668" spans="1:10" x14ac:dyDescent="0.3">
      <c r="A668" s="1">
        <v>45839</v>
      </c>
      <c r="B668">
        <v>2025</v>
      </c>
      <c r="C668" t="str">
        <f>TEXT(Transformed_Data\[[#This Row],[Date]],"mmm")</f>
        <v>Jul</v>
      </c>
      <c r="D668" s="8">
        <v>11756</v>
      </c>
      <c r="E668" s="8">
        <v>40672</v>
      </c>
      <c r="F668" s="8">
        <v>64000</v>
      </c>
      <c r="G668" s="8">
        <v>23328</v>
      </c>
      <c r="H668" s="2">
        <v>0.36449999999999999</v>
      </c>
      <c r="I668" t="s">
        <v>7</v>
      </c>
      <c r="J668" s="8">
        <v>8601</v>
      </c>
    </row>
    <row r="669" spans="1:10" x14ac:dyDescent="0.3">
      <c r="A669" s="1">
        <v>45839</v>
      </c>
      <c r="B669">
        <v>2025</v>
      </c>
      <c r="C669" t="str">
        <f>TEXT(Transformed_Data\[[#This Row],[Date]],"mmm")</f>
        <v>Jul</v>
      </c>
      <c r="D669" s="8">
        <v>11756</v>
      </c>
      <c r="E669" s="8">
        <v>40672</v>
      </c>
      <c r="F669" s="8">
        <v>64000</v>
      </c>
      <c r="G669" s="8">
        <v>23328</v>
      </c>
      <c r="H669" s="2">
        <v>0.36449999999999999</v>
      </c>
      <c r="I669" t="s">
        <v>9</v>
      </c>
      <c r="J669" s="8">
        <v>0</v>
      </c>
    </row>
    <row r="670" spans="1:10" x14ac:dyDescent="0.3">
      <c r="A670" s="1">
        <v>45839</v>
      </c>
      <c r="B670">
        <v>2025</v>
      </c>
      <c r="C670" t="str">
        <f>TEXT(Transformed_Data\[[#This Row],[Date]],"mmm")</f>
        <v>Jul</v>
      </c>
      <c r="D670" s="8">
        <v>11756</v>
      </c>
      <c r="E670" s="8">
        <v>40672</v>
      </c>
      <c r="F670" s="8">
        <v>64000</v>
      </c>
      <c r="G670" s="8">
        <v>23328</v>
      </c>
      <c r="H670" s="2">
        <v>0.36449999999999999</v>
      </c>
      <c r="I670" t="s">
        <v>10</v>
      </c>
      <c r="J670" s="8">
        <v>2250</v>
      </c>
    </row>
    <row r="671" spans="1:10" x14ac:dyDescent="0.3">
      <c r="A671" s="1">
        <v>45839</v>
      </c>
      <c r="B671">
        <v>2025</v>
      </c>
      <c r="C671" t="str">
        <f>TEXT(Transformed_Data\[[#This Row],[Date]],"mmm")</f>
        <v>Jul</v>
      </c>
      <c r="D671" s="8">
        <v>11756</v>
      </c>
      <c r="E671" s="8">
        <v>40672</v>
      </c>
      <c r="F671" s="8">
        <v>64000</v>
      </c>
      <c r="G671" s="8">
        <v>23328</v>
      </c>
      <c r="H671" s="2">
        <v>0.36449999999999999</v>
      </c>
      <c r="I671" t="s">
        <v>11</v>
      </c>
      <c r="J671" s="8">
        <v>1587</v>
      </c>
    </row>
    <row r="672" spans="1:10" x14ac:dyDescent="0.3">
      <c r="A672" s="1">
        <v>45870</v>
      </c>
      <c r="B672">
        <v>2025</v>
      </c>
      <c r="C672" t="str">
        <f>TEXT(Transformed_Data\[[#This Row],[Date]],"mmm")</f>
        <v>Aug</v>
      </c>
      <c r="D672" s="8">
        <v>11659</v>
      </c>
      <c r="E672" s="8">
        <v>41867</v>
      </c>
      <c r="F672" s="8">
        <v>64000</v>
      </c>
      <c r="G672" s="8">
        <v>22133</v>
      </c>
      <c r="H672" s="2">
        <v>0.34582812499999999</v>
      </c>
      <c r="I672" t="s">
        <v>1</v>
      </c>
      <c r="J672" s="8">
        <v>8960</v>
      </c>
    </row>
    <row r="673" spans="1:10" x14ac:dyDescent="0.3">
      <c r="A673" s="1">
        <v>45870</v>
      </c>
      <c r="B673">
        <v>2025</v>
      </c>
      <c r="C673" t="str">
        <f>TEXT(Transformed_Data\[[#This Row],[Date]],"mmm")</f>
        <v>Aug</v>
      </c>
      <c r="D673" s="8">
        <v>11659</v>
      </c>
      <c r="E673" s="8">
        <v>41867</v>
      </c>
      <c r="F673" s="8">
        <v>64000</v>
      </c>
      <c r="G673" s="8">
        <v>22133</v>
      </c>
      <c r="H673" s="2">
        <v>0.34582812499999999</v>
      </c>
      <c r="I673" t="s">
        <v>2</v>
      </c>
      <c r="J673" s="8">
        <v>13000</v>
      </c>
    </row>
    <row r="674" spans="1:10" x14ac:dyDescent="0.3">
      <c r="A674" s="1">
        <v>45870</v>
      </c>
      <c r="B674">
        <v>2025</v>
      </c>
      <c r="C674" t="str">
        <f>TEXT(Transformed_Data\[[#This Row],[Date]],"mmm")</f>
        <v>Aug</v>
      </c>
      <c r="D674" s="8">
        <v>11659</v>
      </c>
      <c r="E674" s="8">
        <v>41867</v>
      </c>
      <c r="F674" s="8">
        <v>64000</v>
      </c>
      <c r="G674" s="8">
        <v>22133</v>
      </c>
      <c r="H674" s="2">
        <v>0.34582812499999999</v>
      </c>
      <c r="I674" t="s">
        <v>3</v>
      </c>
      <c r="J674" s="8">
        <v>2753</v>
      </c>
    </row>
    <row r="675" spans="1:10" x14ac:dyDescent="0.3">
      <c r="A675" s="1">
        <v>45870</v>
      </c>
      <c r="B675">
        <v>2025</v>
      </c>
      <c r="C675" t="str">
        <f>TEXT(Transformed_Data\[[#This Row],[Date]],"mmm")</f>
        <v>Aug</v>
      </c>
      <c r="D675" s="8">
        <v>11659</v>
      </c>
      <c r="E675" s="8">
        <v>41867</v>
      </c>
      <c r="F675" s="8">
        <v>64000</v>
      </c>
      <c r="G675" s="8">
        <v>22133</v>
      </c>
      <c r="H675" s="2">
        <v>0.34582812499999999</v>
      </c>
      <c r="I675" t="s">
        <v>4</v>
      </c>
      <c r="J675" s="8">
        <v>706</v>
      </c>
    </row>
    <row r="676" spans="1:10" x14ac:dyDescent="0.3">
      <c r="A676" s="1">
        <v>45870</v>
      </c>
      <c r="B676">
        <v>2025</v>
      </c>
      <c r="C676" t="str">
        <f>TEXT(Transformed_Data\[[#This Row],[Date]],"mmm")</f>
        <v>Aug</v>
      </c>
      <c r="D676" s="8">
        <v>11659</v>
      </c>
      <c r="E676" s="8">
        <v>41867</v>
      </c>
      <c r="F676" s="8">
        <v>64000</v>
      </c>
      <c r="G676" s="8">
        <v>22133</v>
      </c>
      <c r="H676" s="2">
        <v>0.34582812499999999</v>
      </c>
      <c r="I676" t="s">
        <v>5</v>
      </c>
      <c r="J676" s="8">
        <v>1673</v>
      </c>
    </row>
    <row r="677" spans="1:10" x14ac:dyDescent="0.3">
      <c r="A677" s="1">
        <v>45870</v>
      </c>
      <c r="B677">
        <v>2025</v>
      </c>
      <c r="C677" t="str">
        <f>TEXT(Transformed_Data\[[#This Row],[Date]],"mmm")</f>
        <v>Aug</v>
      </c>
      <c r="D677" s="8">
        <v>11659</v>
      </c>
      <c r="E677" s="8">
        <v>41867</v>
      </c>
      <c r="F677" s="8">
        <v>64000</v>
      </c>
      <c r="G677" s="8">
        <v>22133</v>
      </c>
      <c r="H677" s="2">
        <v>0.34582812499999999</v>
      </c>
      <c r="I677" t="s">
        <v>6</v>
      </c>
      <c r="J677" s="8">
        <v>2776</v>
      </c>
    </row>
    <row r="678" spans="1:10" x14ac:dyDescent="0.3">
      <c r="A678" s="1">
        <v>45870</v>
      </c>
      <c r="B678">
        <v>2025</v>
      </c>
      <c r="C678" t="str">
        <f>TEXT(Transformed_Data\[[#This Row],[Date]],"mmm")</f>
        <v>Aug</v>
      </c>
      <c r="D678" s="8">
        <v>11659</v>
      </c>
      <c r="E678" s="8">
        <v>41867</v>
      </c>
      <c r="F678" s="8">
        <v>64000</v>
      </c>
      <c r="G678" s="8">
        <v>22133</v>
      </c>
      <c r="H678" s="2">
        <v>0.34582812499999999</v>
      </c>
      <c r="I678" t="s">
        <v>7</v>
      </c>
      <c r="J678" s="8">
        <v>6632</v>
      </c>
    </row>
    <row r="679" spans="1:10" x14ac:dyDescent="0.3">
      <c r="A679" s="1">
        <v>45870</v>
      </c>
      <c r="B679">
        <v>2025</v>
      </c>
      <c r="C679" t="str">
        <f>TEXT(Transformed_Data\[[#This Row],[Date]],"mmm")</f>
        <v>Aug</v>
      </c>
      <c r="D679" s="8">
        <v>11659</v>
      </c>
      <c r="E679" s="8">
        <v>41867</v>
      </c>
      <c r="F679" s="8">
        <v>64000</v>
      </c>
      <c r="G679" s="8">
        <v>22133</v>
      </c>
      <c r="H679" s="2">
        <v>0.34582812499999999</v>
      </c>
      <c r="I679" t="s">
        <v>9</v>
      </c>
      <c r="J679" s="8">
        <v>0</v>
      </c>
    </row>
    <row r="680" spans="1:10" x14ac:dyDescent="0.3">
      <c r="A680" s="1">
        <v>45870</v>
      </c>
      <c r="B680">
        <v>2025</v>
      </c>
      <c r="C680" t="str">
        <f>TEXT(Transformed_Data\[[#This Row],[Date]],"mmm")</f>
        <v>Aug</v>
      </c>
      <c r="D680" s="8">
        <v>11659</v>
      </c>
      <c r="E680" s="8">
        <v>41867</v>
      </c>
      <c r="F680" s="8">
        <v>64000</v>
      </c>
      <c r="G680" s="8">
        <v>22133</v>
      </c>
      <c r="H680" s="2">
        <v>0.34582812499999999</v>
      </c>
      <c r="I680" t="s">
        <v>10</v>
      </c>
      <c r="J680" s="8">
        <v>3176</v>
      </c>
    </row>
    <row r="681" spans="1:10" x14ac:dyDescent="0.3">
      <c r="A681" s="1">
        <v>45870</v>
      </c>
      <c r="B681">
        <v>2025</v>
      </c>
      <c r="C681" t="str">
        <f>TEXT(Transformed_Data\[[#This Row],[Date]],"mmm")</f>
        <v>Aug</v>
      </c>
      <c r="D681" s="8">
        <v>11659</v>
      </c>
      <c r="E681" s="8">
        <v>41867</v>
      </c>
      <c r="F681" s="8">
        <v>64000</v>
      </c>
      <c r="G681" s="8">
        <v>22133</v>
      </c>
      <c r="H681" s="2">
        <v>0.34582812499999999</v>
      </c>
      <c r="I681" t="s">
        <v>11</v>
      </c>
      <c r="J681" s="8">
        <v>2191</v>
      </c>
    </row>
    <row r="682" spans="1:10" x14ac:dyDescent="0.3">
      <c r="A682" s="1">
        <v>45901</v>
      </c>
      <c r="B682">
        <v>2025</v>
      </c>
      <c r="C682" t="str">
        <f>TEXT(Transformed_Data\[[#This Row],[Date]],"mmm")</f>
        <v>Sep</v>
      </c>
      <c r="D682" s="8">
        <v>11924</v>
      </c>
      <c r="E682" s="8">
        <v>42373</v>
      </c>
      <c r="F682" s="8">
        <v>64000</v>
      </c>
      <c r="G682" s="8">
        <v>21627</v>
      </c>
      <c r="H682" s="2">
        <v>0.33792187499999998</v>
      </c>
      <c r="I682" t="s">
        <v>1</v>
      </c>
      <c r="J682" s="8">
        <v>8681</v>
      </c>
    </row>
    <row r="683" spans="1:10" x14ac:dyDescent="0.3">
      <c r="A683" s="1">
        <v>45901</v>
      </c>
      <c r="B683">
        <v>2025</v>
      </c>
      <c r="C683" t="str">
        <f>TEXT(Transformed_Data\[[#This Row],[Date]],"mmm")</f>
        <v>Sep</v>
      </c>
      <c r="D683" s="8">
        <v>11924</v>
      </c>
      <c r="E683" s="8">
        <v>42373</v>
      </c>
      <c r="F683" s="8">
        <v>64000</v>
      </c>
      <c r="G683" s="8">
        <v>21627</v>
      </c>
      <c r="H683" s="2">
        <v>0.33792187499999998</v>
      </c>
      <c r="I683" t="s">
        <v>2</v>
      </c>
      <c r="J683" s="8">
        <v>13000</v>
      </c>
    </row>
    <row r="684" spans="1:10" x14ac:dyDescent="0.3">
      <c r="A684" s="1">
        <v>45901</v>
      </c>
      <c r="B684">
        <v>2025</v>
      </c>
      <c r="C684" t="str">
        <f>TEXT(Transformed_Data\[[#This Row],[Date]],"mmm")</f>
        <v>Sep</v>
      </c>
      <c r="D684" s="8">
        <v>11924</v>
      </c>
      <c r="E684" s="8">
        <v>42373</v>
      </c>
      <c r="F684" s="8">
        <v>64000</v>
      </c>
      <c r="G684" s="8">
        <v>21627</v>
      </c>
      <c r="H684" s="2">
        <v>0.33792187499999998</v>
      </c>
      <c r="I684" t="s">
        <v>3</v>
      </c>
      <c r="J684" s="8">
        <v>3040</v>
      </c>
    </row>
    <row r="685" spans="1:10" x14ac:dyDescent="0.3">
      <c r="A685" s="1">
        <v>45901</v>
      </c>
      <c r="B685">
        <v>2025</v>
      </c>
      <c r="C685" t="str">
        <f>TEXT(Transformed_Data\[[#This Row],[Date]],"mmm")</f>
        <v>Sep</v>
      </c>
      <c r="D685" s="8">
        <v>11924</v>
      </c>
      <c r="E685" s="8">
        <v>42373</v>
      </c>
      <c r="F685" s="8">
        <v>64000</v>
      </c>
      <c r="G685" s="8">
        <v>21627</v>
      </c>
      <c r="H685" s="2">
        <v>0.33792187499999998</v>
      </c>
      <c r="I685" t="s">
        <v>4</v>
      </c>
      <c r="J685" s="8">
        <v>728</v>
      </c>
    </row>
    <row r="686" spans="1:10" x14ac:dyDescent="0.3">
      <c r="A686" s="1">
        <v>45901</v>
      </c>
      <c r="B686">
        <v>2025</v>
      </c>
      <c r="C686" t="str">
        <f>TEXT(Transformed_Data\[[#This Row],[Date]],"mmm")</f>
        <v>Sep</v>
      </c>
      <c r="D686" s="8">
        <v>11924</v>
      </c>
      <c r="E686" s="8">
        <v>42373</v>
      </c>
      <c r="F686" s="8">
        <v>64000</v>
      </c>
      <c r="G686" s="8">
        <v>21627</v>
      </c>
      <c r="H686" s="2">
        <v>0.33792187499999998</v>
      </c>
      <c r="I686" t="s">
        <v>5</v>
      </c>
      <c r="J686" s="8">
        <v>1664</v>
      </c>
    </row>
    <row r="687" spans="1:10" x14ac:dyDescent="0.3">
      <c r="A687" s="1">
        <v>45901</v>
      </c>
      <c r="B687">
        <v>2025</v>
      </c>
      <c r="C687" t="str">
        <f>TEXT(Transformed_Data\[[#This Row],[Date]],"mmm")</f>
        <v>Sep</v>
      </c>
      <c r="D687" s="8">
        <v>11924</v>
      </c>
      <c r="E687" s="8">
        <v>42373</v>
      </c>
      <c r="F687" s="8">
        <v>64000</v>
      </c>
      <c r="G687" s="8">
        <v>21627</v>
      </c>
      <c r="H687" s="2">
        <v>0.33792187499999998</v>
      </c>
      <c r="I687" t="s">
        <v>6</v>
      </c>
      <c r="J687" s="8">
        <v>2717</v>
      </c>
    </row>
    <row r="688" spans="1:10" x14ac:dyDescent="0.3">
      <c r="A688" s="1">
        <v>45901</v>
      </c>
      <c r="B688">
        <v>2025</v>
      </c>
      <c r="C688" t="str">
        <f>TEXT(Transformed_Data\[[#This Row],[Date]],"mmm")</f>
        <v>Sep</v>
      </c>
      <c r="D688" s="8">
        <v>11924</v>
      </c>
      <c r="E688" s="8">
        <v>42373</v>
      </c>
      <c r="F688" s="8">
        <v>64000</v>
      </c>
      <c r="G688" s="8">
        <v>21627</v>
      </c>
      <c r="H688" s="2">
        <v>0.33792187499999998</v>
      </c>
      <c r="I688" t="s">
        <v>7</v>
      </c>
      <c r="J688" s="8">
        <v>8260</v>
      </c>
    </row>
    <row r="689" spans="1:10" x14ac:dyDescent="0.3">
      <c r="A689" s="1">
        <v>45901</v>
      </c>
      <c r="B689">
        <v>2025</v>
      </c>
      <c r="C689" t="str">
        <f>TEXT(Transformed_Data\[[#This Row],[Date]],"mmm")</f>
        <v>Sep</v>
      </c>
      <c r="D689" s="8">
        <v>11924</v>
      </c>
      <c r="E689" s="8">
        <v>42373</v>
      </c>
      <c r="F689" s="8">
        <v>64000</v>
      </c>
      <c r="G689" s="8">
        <v>21627</v>
      </c>
      <c r="H689" s="2">
        <v>0.33792187499999998</v>
      </c>
      <c r="I689" t="s">
        <v>9</v>
      </c>
      <c r="J689" s="8">
        <v>0</v>
      </c>
    </row>
    <row r="690" spans="1:10" x14ac:dyDescent="0.3">
      <c r="A690" s="1">
        <v>45901</v>
      </c>
      <c r="B690">
        <v>2025</v>
      </c>
      <c r="C690" t="str">
        <f>TEXT(Transformed_Data\[[#This Row],[Date]],"mmm")</f>
        <v>Sep</v>
      </c>
      <c r="D690" s="8">
        <v>11924</v>
      </c>
      <c r="E690" s="8">
        <v>42373</v>
      </c>
      <c r="F690" s="8">
        <v>64000</v>
      </c>
      <c r="G690" s="8">
        <v>21627</v>
      </c>
      <c r="H690" s="2">
        <v>0.33792187499999998</v>
      </c>
      <c r="I690" t="s">
        <v>10</v>
      </c>
      <c r="J690" s="8">
        <v>2945</v>
      </c>
    </row>
    <row r="691" spans="1:10" x14ac:dyDescent="0.3">
      <c r="A691" s="1">
        <v>45901</v>
      </c>
      <c r="B691">
        <v>2025</v>
      </c>
      <c r="C691" t="str">
        <f>TEXT(Transformed_Data\[[#This Row],[Date]],"mmm")</f>
        <v>Sep</v>
      </c>
      <c r="D691" s="8">
        <v>11924</v>
      </c>
      <c r="E691" s="8">
        <v>42373</v>
      </c>
      <c r="F691" s="8">
        <v>64000</v>
      </c>
      <c r="G691" s="8">
        <v>21627</v>
      </c>
      <c r="H691" s="2">
        <v>0.33792187499999998</v>
      </c>
      <c r="I691" t="s">
        <v>11</v>
      </c>
      <c r="J691" s="8">
        <v>1338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BB3D2-5304-4133-8764-7294D911824D}">
  <dimension ref="A3:N75"/>
  <sheetViews>
    <sheetView topLeftCell="A60" workbookViewId="0">
      <selection activeCell="E69" sqref="E69"/>
    </sheetView>
  </sheetViews>
  <sheetFormatPr defaultRowHeight="14.4" x14ac:dyDescent="0.3"/>
  <cols>
    <col min="1" max="1" width="20.5546875" bestFit="1" customWidth="1"/>
    <col min="2" max="2" width="15.5546875" bestFit="1" customWidth="1"/>
    <col min="3" max="13" width="7.5546875" bestFit="1" customWidth="1"/>
    <col min="14" max="14" width="10.77734375" bestFit="1" customWidth="1"/>
  </cols>
  <sheetData>
    <row r="3" spans="1:5" x14ac:dyDescent="0.3">
      <c r="A3" t="s">
        <v>14</v>
      </c>
      <c r="B3" t="s">
        <v>21</v>
      </c>
      <c r="C3" t="s">
        <v>18</v>
      </c>
      <c r="D3" t="s">
        <v>20</v>
      </c>
      <c r="E3" t="s">
        <v>19</v>
      </c>
    </row>
    <row r="4" spans="1:5" x14ac:dyDescent="0.3">
      <c r="A4" s="8">
        <v>3480800</v>
      </c>
      <c r="B4" s="8">
        <v>2532579</v>
      </c>
      <c r="C4" s="8">
        <v>948221</v>
      </c>
      <c r="D4" s="7">
        <v>0.25958230460662518</v>
      </c>
      <c r="E4" s="8">
        <v>36704.043478260872</v>
      </c>
    </row>
    <row r="6" spans="1:5" x14ac:dyDescent="0.3">
      <c r="A6" s="3" t="s">
        <v>22</v>
      </c>
      <c r="B6" s="8" t="s">
        <v>14</v>
      </c>
      <c r="C6" s="8" t="s">
        <v>15</v>
      </c>
      <c r="D6" s="8" t="s">
        <v>18</v>
      </c>
    </row>
    <row r="7" spans="1:5" x14ac:dyDescent="0.3">
      <c r="A7" s="4" t="s">
        <v>24</v>
      </c>
      <c r="B7" s="8">
        <v>292000</v>
      </c>
      <c r="C7" s="8">
        <v>220830</v>
      </c>
      <c r="D7" s="8">
        <v>71170</v>
      </c>
    </row>
    <row r="8" spans="1:5" x14ac:dyDescent="0.3">
      <c r="A8" s="4" t="s">
        <v>25</v>
      </c>
      <c r="B8" s="8">
        <v>292000</v>
      </c>
      <c r="C8" s="8">
        <v>219247</v>
      </c>
      <c r="D8" s="8">
        <v>72753</v>
      </c>
    </row>
    <row r="9" spans="1:5" x14ac:dyDescent="0.3">
      <c r="A9" s="4" t="s">
        <v>26</v>
      </c>
      <c r="B9" s="8">
        <v>288000</v>
      </c>
      <c r="C9" s="8">
        <v>220013</v>
      </c>
      <c r="D9" s="8">
        <v>67987</v>
      </c>
    </row>
    <row r="10" spans="1:5" x14ac:dyDescent="0.3">
      <c r="A10" s="4" t="s">
        <v>27</v>
      </c>
      <c r="B10" s="8">
        <v>311200</v>
      </c>
      <c r="C10" s="8">
        <v>219204</v>
      </c>
      <c r="D10" s="8">
        <v>91996</v>
      </c>
    </row>
    <row r="11" spans="1:5" x14ac:dyDescent="0.3">
      <c r="A11" s="4" t="s">
        <v>28</v>
      </c>
      <c r="B11" s="8">
        <v>311200</v>
      </c>
      <c r="C11" s="8">
        <v>216722</v>
      </c>
      <c r="D11" s="8">
        <v>94478</v>
      </c>
    </row>
    <row r="12" spans="1:5" x14ac:dyDescent="0.3">
      <c r="A12" s="4" t="s">
        <v>29</v>
      </c>
      <c r="B12" s="8">
        <v>311200</v>
      </c>
      <c r="C12" s="8">
        <v>218821</v>
      </c>
      <c r="D12" s="8">
        <v>92379</v>
      </c>
    </row>
    <row r="13" spans="1:5" x14ac:dyDescent="0.3">
      <c r="A13" s="4" t="s">
        <v>30</v>
      </c>
      <c r="B13" s="8">
        <v>311200</v>
      </c>
      <c r="C13" s="8">
        <v>225486</v>
      </c>
      <c r="D13" s="8">
        <v>85714</v>
      </c>
    </row>
    <row r="14" spans="1:5" x14ac:dyDescent="0.3">
      <c r="A14" s="4" t="s">
        <v>31</v>
      </c>
      <c r="B14" s="8">
        <v>311200</v>
      </c>
      <c r="C14" s="8">
        <v>220946</v>
      </c>
      <c r="D14" s="8">
        <v>90254</v>
      </c>
    </row>
    <row r="15" spans="1:5" x14ac:dyDescent="0.3">
      <c r="A15" s="4" t="s">
        <v>32</v>
      </c>
      <c r="B15" s="8">
        <v>311200</v>
      </c>
      <c r="C15" s="8">
        <v>223217</v>
      </c>
      <c r="D15" s="8">
        <v>87983</v>
      </c>
    </row>
    <row r="16" spans="1:5" x14ac:dyDescent="0.3">
      <c r="A16" s="4" t="s">
        <v>33</v>
      </c>
      <c r="B16" s="8">
        <v>247200</v>
      </c>
      <c r="C16" s="8">
        <v>180178</v>
      </c>
      <c r="D16" s="8">
        <v>67022</v>
      </c>
    </row>
    <row r="17" spans="1:14" x14ac:dyDescent="0.3">
      <c r="A17" s="4" t="s">
        <v>34</v>
      </c>
      <c r="B17" s="8">
        <v>247200</v>
      </c>
      <c r="C17" s="8">
        <v>178882</v>
      </c>
      <c r="D17" s="8">
        <v>68318</v>
      </c>
    </row>
    <row r="18" spans="1:14" x14ac:dyDescent="0.3">
      <c r="A18" s="4" t="s">
        <v>35</v>
      </c>
      <c r="B18" s="8">
        <v>247200</v>
      </c>
      <c r="C18" s="8">
        <v>189033</v>
      </c>
      <c r="D18" s="8">
        <v>58167</v>
      </c>
    </row>
    <row r="19" spans="1:14" x14ac:dyDescent="0.3">
      <c r="A19" s="4" t="s">
        <v>23</v>
      </c>
      <c r="B19" s="8">
        <v>3480800</v>
      </c>
      <c r="C19" s="8">
        <v>2532579</v>
      </c>
      <c r="D19" s="8">
        <v>948221</v>
      </c>
    </row>
    <row r="22" spans="1:14" x14ac:dyDescent="0.3">
      <c r="A22" s="3" t="s">
        <v>40</v>
      </c>
      <c r="B22" s="3" t="s">
        <v>41</v>
      </c>
    </row>
    <row r="23" spans="1:14" x14ac:dyDescent="0.3">
      <c r="A23" s="3" t="s">
        <v>22</v>
      </c>
      <c r="B23" t="s">
        <v>24</v>
      </c>
      <c r="C23" t="s">
        <v>25</v>
      </c>
      <c r="D23" t="s">
        <v>26</v>
      </c>
      <c r="E23" t="s">
        <v>27</v>
      </c>
      <c r="F23" t="s">
        <v>28</v>
      </c>
      <c r="G23" t="s">
        <v>29</v>
      </c>
      <c r="H23" t="s">
        <v>30</v>
      </c>
      <c r="I23" t="s">
        <v>31</v>
      </c>
      <c r="J23" t="s">
        <v>32</v>
      </c>
      <c r="K23" t="s">
        <v>33</v>
      </c>
      <c r="L23" t="s">
        <v>34</v>
      </c>
      <c r="M23" t="s">
        <v>35</v>
      </c>
      <c r="N23" t="s">
        <v>23</v>
      </c>
    </row>
    <row r="24" spans="1:14" x14ac:dyDescent="0.3">
      <c r="A24" s="5" t="s">
        <v>10</v>
      </c>
      <c r="B24" s="8">
        <v>14632</v>
      </c>
      <c r="C24" s="8">
        <v>18932</v>
      </c>
      <c r="D24" s="8">
        <v>16798</v>
      </c>
      <c r="E24" s="8">
        <v>17357</v>
      </c>
      <c r="F24" s="8">
        <v>16843</v>
      </c>
      <c r="G24" s="8">
        <v>17578</v>
      </c>
      <c r="H24" s="8">
        <v>16266</v>
      </c>
      <c r="I24" s="8">
        <v>17722</v>
      </c>
      <c r="J24" s="8">
        <v>15150</v>
      </c>
      <c r="K24" s="8">
        <v>13683</v>
      </c>
      <c r="L24" s="8">
        <v>9631</v>
      </c>
      <c r="M24" s="8">
        <v>14440</v>
      </c>
      <c r="N24" s="8">
        <v>189032</v>
      </c>
    </row>
    <row r="25" spans="1:14" x14ac:dyDescent="0.3">
      <c r="A25" s="5" t="s">
        <v>9</v>
      </c>
      <c r="B25" s="8">
        <v>12000</v>
      </c>
      <c r="C25" s="8">
        <v>6000</v>
      </c>
      <c r="D25" s="8">
        <v>6000</v>
      </c>
      <c r="E25" s="8">
        <v>6000</v>
      </c>
      <c r="F25" s="8">
        <v>6000</v>
      </c>
      <c r="G25" s="8">
        <v>6000</v>
      </c>
      <c r="H25" s="8">
        <v>6000</v>
      </c>
      <c r="I25" s="8">
        <v>6000</v>
      </c>
      <c r="J25" s="8">
        <v>6000</v>
      </c>
      <c r="K25" s="8">
        <v>6000</v>
      </c>
      <c r="L25" s="8">
        <v>6000</v>
      </c>
      <c r="M25" s="8">
        <v>6000</v>
      </c>
      <c r="N25" s="8">
        <v>78000</v>
      </c>
    </row>
    <row r="26" spans="1:14" x14ac:dyDescent="0.3">
      <c r="A26" s="5" t="s">
        <v>1</v>
      </c>
      <c r="B26" s="8">
        <v>36031</v>
      </c>
      <c r="C26" s="8">
        <v>36813</v>
      </c>
      <c r="D26" s="8">
        <v>38662</v>
      </c>
      <c r="E26" s="8">
        <v>38344</v>
      </c>
      <c r="F26" s="8">
        <v>35268</v>
      </c>
      <c r="G26" s="8">
        <v>34821</v>
      </c>
      <c r="H26" s="8">
        <v>39807</v>
      </c>
      <c r="I26" s="8">
        <v>39102</v>
      </c>
      <c r="J26" s="8">
        <v>39280</v>
      </c>
      <c r="K26" s="8">
        <v>30758</v>
      </c>
      <c r="L26" s="8">
        <v>29829</v>
      </c>
      <c r="M26" s="8">
        <v>35082</v>
      </c>
      <c r="N26" s="8">
        <v>433797</v>
      </c>
    </row>
    <row r="27" spans="1:14" x14ac:dyDescent="0.3">
      <c r="A27" s="5" t="s">
        <v>4</v>
      </c>
      <c r="B27" s="8">
        <v>5613</v>
      </c>
      <c r="C27" s="8">
        <v>5199</v>
      </c>
      <c r="D27" s="8">
        <v>6747</v>
      </c>
      <c r="E27" s="8">
        <v>5761</v>
      </c>
      <c r="F27" s="8">
        <v>6091</v>
      </c>
      <c r="G27" s="8">
        <v>5948</v>
      </c>
      <c r="H27" s="8">
        <v>5132</v>
      </c>
      <c r="I27" s="8">
        <v>5969</v>
      </c>
      <c r="J27" s="8">
        <v>5777</v>
      </c>
      <c r="K27" s="8">
        <v>5192</v>
      </c>
      <c r="L27" s="8">
        <v>4552</v>
      </c>
      <c r="M27" s="8">
        <v>4795</v>
      </c>
      <c r="N27" s="8">
        <v>66776</v>
      </c>
    </row>
    <row r="28" spans="1:14" x14ac:dyDescent="0.3">
      <c r="A28" s="5" t="s">
        <v>6</v>
      </c>
      <c r="B28" s="8">
        <v>10215</v>
      </c>
      <c r="C28" s="8">
        <v>10741</v>
      </c>
      <c r="D28" s="8">
        <v>10272</v>
      </c>
      <c r="E28" s="8">
        <v>9646</v>
      </c>
      <c r="F28" s="8">
        <v>11167</v>
      </c>
      <c r="G28" s="8">
        <v>10912</v>
      </c>
      <c r="H28" s="8">
        <v>11439</v>
      </c>
      <c r="I28" s="8">
        <v>10786</v>
      </c>
      <c r="J28" s="8">
        <v>10635</v>
      </c>
      <c r="K28" s="8">
        <v>7407</v>
      </c>
      <c r="L28" s="8">
        <v>9338</v>
      </c>
      <c r="M28" s="8">
        <v>8221</v>
      </c>
      <c r="N28" s="8">
        <v>120779</v>
      </c>
    </row>
    <row r="29" spans="1:14" x14ac:dyDescent="0.3">
      <c r="A29" s="5" t="s">
        <v>7</v>
      </c>
      <c r="B29" s="8">
        <v>37642</v>
      </c>
      <c r="C29" s="8">
        <v>37612</v>
      </c>
      <c r="D29" s="8">
        <v>37503</v>
      </c>
      <c r="E29" s="8">
        <v>36586</v>
      </c>
      <c r="F29" s="8">
        <v>39902</v>
      </c>
      <c r="G29" s="8">
        <v>39367</v>
      </c>
      <c r="H29" s="8">
        <v>40178</v>
      </c>
      <c r="I29" s="8">
        <v>35522</v>
      </c>
      <c r="J29" s="8">
        <v>39842</v>
      </c>
      <c r="K29" s="8">
        <v>30234</v>
      </c>
      <c r="L29" s="8">
        <v>29794</v>
      </c>
      <c r="M29" s="8">
        <v>31691</v>
      </c>
      <c r="N29" s="8">
        <v>435873</v>
      </c>
    </row>
    <row r="30" spans="1:14" x14ac:dyDescent="0.3">
      <c r="A30" s="5" t="s">
        <v>2</v>
      </c>
      <c r="B30" s="8">
        <v>66000</v>
      </c>
      <c r="C30" s="8">
        <v>66000</v>
      </c>
      <c r="D30" s="8">
        <v>66000</v>
      </c>
      <c r="E30" s="8">
        <v>66000</v>
      </c>
      <c r="F30" s="8">
        <v>66000</v>
      </c>
      <c r="G30" s="8">
        <v>66000</v>
      </c>
      <c r="H30" s="8">
        <v>66000</v>
      </c>
      <c r="I30" s="8">
        <v>66000</v>
      </c>
      <c r="J30" s="8">
        <v>66000</v>
      </c>
      <c r="K30" s="8">
        <v>53000</v>
      </c>
      <c r="L30" s="8">
        <v>56000</v>
      </c>
      <c r="M30" s="8">
        <v>56000</v>
      </c>
      <c r="N30" s="8">
        <v>759000</v>
      </c>
    </row>
    <row r="31" spans="1:14" x14ac:dyDescent="0.3">
      <c r="A31" s="5" t="s">
        <v>11</v>
      </c>
      <c r="B31" s="8">
        <v>11164</v>
      </c>
      <c r="C31" s="8">
        <v>10719</v>
      </c>
      <c r="D31" s="8">
        <v>10225</v>
      </c>
      <c r="E31" s="8">
        <v>13121</v>
      </c>
      <c r="F31" s="8">
        <v>9862</v>
      </c>
      <c r="G31" s="8">
        <v>11272</v>
      </c>
      <c r="H31" s="8">
        <v>12337</v>
      </c>
      <c r="I31" s="8">
        <v>12077</v>
      </c>
      <c r="J31" s="8">
        <v>12804</v>
      </c>
      <c r="K31" s="8">
        <v>8543</v>
      </c>
      <c r="L31" s="8">
        <v>11284</v>
      </c>
      <c r="M31" s="8">
        <v>12091</v>
      </c>
      <c r="N31" s="8">
        <v>135499</v>
      </c>
    </row>
    <row r="32" spans="1:14" x14ac:dyDescent="0.3">
      <c r="A32" s="5" t="s">
        <v>3</v>
      </c>
      <c r="B32" s="8">
        <v>16345</v>
      </c>
      <c r="C32" s="8">
        <v>15830</v>
      </c>
      <c r="D32" s="8">
        <v>15030</v>
      </c>
      <c r="E32" s="8">
        <v>13720</v>
      </c>
      <c r="F32" s="8">
        <v>13225</v>
      </c>
      <c r="G32" s="8">
        <v>15104</v>
      </c>
      <c r="H32" s="8">
        <v>16975</v>
      </c>
      <c r="I32" s="8">
        <v>15502</v>
      </c>
      <c r="J32" s="8">
        <v>15872</v>
      </c>
      <c r="K32" s="8">
        <v>15195</v>
      </c>
      <c r="L32" s="8">
        <v>13151</v>
      </c>
      <c r="M32" s="8">
        <v>11330</v>
      </c>
      <c r="N32" s="8">
        <v>177279</v>
      </c>
    </row>
    <row r="33" spans="1:14" x14ac:dyDescent="0.3">
      <c r="A33" s="5" t="s">
        <v>5</v>
      </c>
      <c r="B33" s="8">
        <v>11188</v>
      </c>
      <c r="C33" s="8">
        <v>11401</v>
      </c>
      <c r="D33" s="8">
        <v>12776</v>
      </c>
      <c r="E33" s="8">
        <v>12669</v>
      </c>
      <c r="F33" s="8">
        <v>12364</v>
      </c>
      <c r="G33" s="8">
        <v>11819</v>
      </c>
      <c r="H33" s="8">
        <v>11352</v>
      </c>
      <c r="I33" s="8">
        <v>12266</v>
      </c>
      <c r="J33" s="8">
        <v>11857</v>
      </c>
      <c r="K33" s="8">
        <v>10166</v>
      </c>
      <c r="L33" s="8">
        <v>9303</v>
      </c>
      <c r="M33" s="8">
        <v>9383</v>
      </c>
      <c r="N33" s="8">
        <v>136544</v>
      </c>
    </row>
    <row r="34" spans="1:14" x14ac:dyDescent="0.3">
      <c r="A34" s="5" t="s">
        <v>23</v>
      </c>
      <c r="B34" s="8">
        <v>220830</v>
      </c>
      <c r="C34" s="8">
        <v>219247</v>
      </c>
      <c r="D34" s="8">
        <v>220013</v>
      </c>
      <c r="E34" s="8">
        <v>219204</v>
      </c>
      <c r="F34" s="8">
        <v>216722</v>
      </c>
      <c r="G34" s="8">
        <v>218821</v>
      </c>
      <c r="H34" s="8">
        <v>225486</v>
      </c>
      <c r="I34" s="8">
        <v>220946</v>
      </c>
      <c r="J34" s="8">
        <v>223217</v>
      </c>
      <c r="K34" s="8">
        <v>180178</v>
      </c>
      <c r="L34" s="8">
        <v>178882</v>
      </c>
      <c r="M34" s="8">
        <v>189033</v>
      </c>
      <c r="N34" s="8">
        <v>2532579</v>
      </c>
    </row>
    <row r="37" spans="1:14" x14ac:dyDescent="0.3">
      <c r="A37" s="3" t="s">
        <v>22</v>
      </c>
      <c r="B37" s="8" t="s">
        <v>42</v>
      </c>
      <c r="C37" s="8" t="s">
        <v>43</v>
      </c>
    </row>
    <row r="38" spans="1:14" x14ac:dyDescent="0.3">
      <c r="A38" s="4" t="s">
        <v>24</v>
      </c>
      <c r="B38" s="8">
        <v>42601</v>
      </c>
      <c r="C38" s="8">
        <v>37642</v>
      </c>
    </row>
    <row r="39" spans="1:14" x14ac:dyDescent="0.3">
      <c r="A39" s="4" t="s">
        <v>25</v>
      </c>
      <c r="B39" s="8">
        <v>44235</v>
      </c>
      <c r="C39" s="8">
        <v>37612</v>
      </c>
    </row>
    <row r="40" spans="1:14" x14ac:dyDescent="0.3">
      <c r="A40" s="4" t="s">
        <v>26</v>
      </c>
      <c r="B40" s="8">
        <v>40377</v>
      </c>
      <c r="C40" s="8">
        <v>37503</v>
      </c>
    </row>
    <row r="41" spans="1:14" x14ac:dyDescent="0.3">
      <c r="A41" s="4" t="s">
        <v>27</v>
      </c>
      <c r="B41" s="8">
        <v>45605</v>
      </c>
      <c r="C41" s="8">
        <v>36586</v>
      </c>
    </row>
    <row r="42" spans="1:14" x14ac:dyDescent="0.3">
      <c r="A42" s="4" t="s">
        <v>28</v>
      </c>
      <c r="B42" s="8">
        <v>42365</v>
      </c>
      <c r="C42" s="8">
        <v>39902</v>
      </c>
    </row>
    <row r="43" spans="1:14" x14ac:dyDescent="0.3">
      <c r="A43" s="4" t="s">
        <v>29</v>
      </c>
      <c r="B43" s="8">
        <v>47922</v>
      </c>
      <c r="C43" s="8">
        <v>39367</v>
      </c>
    </row>
    <row r="44" spans="1:14" x14ac:dyDescent="0.3">
      <c r="A44" s="4" t="s">
        <v>30</v>
      </c>
      <c r="B44" s="8">
        <v>51323</v>
      </c>
      <c r="C44" s="8">
        <v>40178</v>
      </c>
    </row>
    <row r="45" spans="1:14" x14ac:dyDescent="0.3">
      <c r="A45" s="4" t="s">
        <v>31</v>
      </c>
      <c r="B45" s="8">
        <v>48686</v>
      </c>
      <c r="C45" s="8">
        <v>35522</v>
      </c>
    </row>
    <row r="46" spans="1:14" x14ac:dyDescent="0.3">
      <c r="A46" s="4" t="s">
        <v>32</v>
      </c>
      <c r="B46" s="8">
        <v>45851</v>
      </c>
      <c r="C46" s="8">
        <v>39842</v>
      </c>
    </row>
    <row r="47" spans="1:14" x14ac:dyDescent="0.3">
      <c r="A47" s="4" t="s">
        <v>33</v>
      </c>
      <c r="B47" s="8">
        <v>39504</v>
      </c>
      <c r="C47" s="8">
        <v>30234</v>
      </c>
    </row>
    <row r="48" spans="1:14" x14ac:dyDescent="0.3">
      <c r="A48" s="4" t="s">
        <v>34</v>
      </c>
      <c r="B48" s="8">
        <v>37290</v>
      </c>
      <c r="C48" s="8">
        <v>29794</v>
      </c>
    </row>
    <row r="49" spans="1:3" x14ac:dyDescent="0.3">
      <c r="A49" s="4" t="s">
        <v>35</v>
      </c>
      <c r="B49" s="8">
        <v>39507</v>
      </c>
      <c r="C49" s="8">
        <v>31691</v>
      </c>
    </row>
    <row r="50" spans="1:3" x14ac:dyDescent="0.3">
      <c r="A50" s="4" t="s">
        <v>23</v>
      </c>
      <c r="B50" s="8">
        <v>525266</v>
      </c>
      <c r="C50" s="8">
        <v>435873</v>
      </c>
    </row>
    <row r="53" spans="1:3" x14ac:dyDescent="0.3">
      <c r="A53" s="3" t="s">
        <v>22</v>
      </c>
      <c r="B53" t="s">
        <v>15</v>
      </c>
    </row>
    <row r="54" spans="1:3" x14ac:dyDescent="0.3">
      <c r="A54" s="4" t="s">
        <v>30</v>
      </c>
      <c r="B54" s="8">
        <v>225486</v>
      </c>
    </row>
    <row r="55" spans="1:3" x14ac:dyDescent="0.3">
      <c r="A55" s="4" t="s">
        <v>32</v>
      </c>
      <c r="B55" s="8">
        <v>223217</v>
      </c>
    </row>
    <row r="56" spans="1:3" x14ac:dyDescent="0.3">
      <c r="A56" s="4" t="s">
        <v>31</v>
      </c>
      <c r="B56" s="8">
        <v>220946</v>
      </c>
    </row>
    <row r="57" spans="1:3" x14ac:dyDescent="0.3">
      <c r="A57" s="4" t="s">
        <v>24</v>
      </c>
      <c r="B57" s="8">
        <v>220830</v>
      </c>
    </row>
    <row r="58" spans="1:3" x14ac:dyDescent="0.3">
      <c r="A58" s="4" t="s">
        <v>26</v>
      </c>
      <c r="B58" s="8">
        <v>220013</v>
      </c>
    </row>
    <row r="59" spans="1:3" x14ac:dyDescent="0.3">
      <c r="A59" s="4" t="s">
        <v>25</v>
      </c>
      <c r="B59" s="8">
        <v>219247</v>
      </c>
    </row>
    <row r="60" spans="1:3" x14ac:dyDescent="0.3">
      <c r="A60" s="4" t="s">
        <v>27</v>
      </c>
      <c r="B60" s="8">
        <v>219204</v>
      </c>
    </row>
    <row r="61" spans="1:3" x14ac:dyDescent="0.3">
      <c r="A61" s="4" t="s">
        <v>29</v>
      </c>
      <c r="B61" s="8">
        <v>218821</v>
      </c>
    </row>
    <row r="62" spans="1:3" x14ac:dyDescent="0.3">
      <c r="A62" s="4" t="s">
        <v>28</v>
      </c>
      <c r="B62" s="8">
        <v>216722</v>
      </c>
    </row>
    <row r="63" spans="1:3" x14ac:dyDescent="0.3">
      <c r="A63" s="4" t="s">
        <v>35</v>
      </c>
      <c r="B63" s="8">
        <v>189033</v>
      </c>
    </row>
    <row r="64" spans="1:3" x14ac:dyDescent="0.3">
      <c r="A64" s="4" t="s">
        <v>33</v>
      </c>
      <c r="B64" s="8">
        <v>180178</v>
      </c>
    </row>
    <row r="65" spans="1:2" x14ac:dyDescent="0.3">
      <c r="A65" s="4" t="s">
        <v>34</v>
      </c>
      <c r="B65" s="8">
        <v>178882</v>
      </c>
    </row>
    <row r="66" spans="1:2" x14ac:dyDescent="0.3">
      <c r="A66" s="4" t="s">
        <v>23</v>
      </c>
      <c r="B66" s="8">
        <v>2532579</v>
      </c>
    </row>
    <row r="67" spans="1:2" x14ac:dyDescent="0.3">
      <c r="A67" s="3" t="s">
        <v>22</v>
      </c>
      <c r="B67" t="s">
        <v>20</v>
      </c>
    </row>
    <row r="68" spans="1:2" x14ac:dyDescent="0.3">
      <c r="A68" s="5">
        <v>2020</v>
      </c>
      <c r="B68" s="7">
        <v>0.12496736111111113</v>
      </c>
    </row>
    <row r="69" spans="1:2" x14ac:dyDescent="0.3">
      <c r="A69" s="5">
        <v>2021</v>
      </c>
      <c r="B69" s="7">
        <v>0.20763541666666671</v>
      </c>
    </row>
    <row r="70" spans="1:2" x14ac:dyDescent="0.3">
      <c r="A70" s="5">
        <v>2022</v>
      </c>
      <c r="B70" s="7">
        <v>0.29359548611111108</v>
      </c>
    </row>
    <row r="71" spans="1:2" x14ac:dyDescent="0.3">
      <c r="A71" s="5">
        <v>2023</v>
      </c>
      <c r="B71" s="7">
        <v>0.36170262896825406</v>
      </c>
    </row>
    <row r="72" spans="1:2" x14ac:dyDescent="0.3">
      <c r="A72" s="5">
        <v>2024</v>
      </c>
      <c r="B72" s="7">
        <v>0.23877027529761899</v>
      </c>
    </row>
    <row r="73" spans="1:2" x14ac:dyDescent="0.3">
      <c r="A73" s="5">
        <v>2025</v>
      </c>
      <c r="B73" s="7">
        <v>0.35456944444444449</v>
      </c>
    </row>
    <row r="74" spans="1:2" x14ac:dyDescent="0.3">
      <c r="A74" s="5" t="s">
        <v>23</v>
      </c>
      <c r="B74" s="7">
        <v>0.25958230460662518</v>
      </c>
    </row>
    <row r="75" spans="1:2" x14ac:dyDescent="0.3">
      <c r="A75" s="5"/>
      <c r="B7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C4BA8-B6EA-40CB-8F28-35794BF6B2B4}">
  <dimension ref="A1:T34"/>
  <sheetViews>
    <sheetView showGridLines="0" tabSelected="1" zoomScale="96" zoomScaleNormal="100" workbookViewId="0">
      <selection activeCell="G34" sqref="G34"/>
    </sheetView>
  </sheetViews>
  <sheetFormatPr defaultRowHeight="14.4" x14ac:dyDescent="0.3"/>
  <cols>
    <col min="2" max="2" width="9" bestFit="1" customWidth="1"/>
    <col min="20" max="20" width="10.88671875" customWidth="1"/>
  </cols>
  <sheetData>
    <row r="1" spans="1:20" s="6" customFormat="1" ht="17.399999999999999" customHeight="1" x14ac:dyDescent="0.3">
      <c r="A1" s="15" t="s">
        <v>44</v>
      </c>
      <c r="B1" s="16"/>
      <c r="C1" s="16"/>
      <c r="D1" s="16"/>
      <c r="E1" s="16"/>
      <c r="F1" s="16"/>
      <c r="G1" s="16"/>
      <c r="H1" s="16"/>
      <c r="I1" s="16"/>
      <c r="J1" s="16"/>
      <c r="K1" s="16"/>
      <c r="L1" s="16"/>
      <c r="M1" s="17"/>
      <c r="N1" s="18"/>
      <c r="O1" s="18"/>
      <c r="P1" s="18"/>
      <c r="Q1" s="18"/>
      <c r="R1" s="18"/>
      <c r="S1" s="18"/>
      <c r="T1" s="19"/>
    </row>
    <row r="2" spans="1:20" s="6" customFormat="1" ht="17.399999999999999" customHeight="1" thickBot="1" x14ac:dyDescent="0.35">
      <c r="A2" s="20"/>
      <c r="B2" s="21"/>
      <c r="C2" s="21"/>
      <c r="D2" s="21"/>
      <c r="E2" s="21"/>
      <c r="F2" s="21"/>
      <c r="G2" s="21"/>
      <c r="H2" s="21"/>
      <c r="I2" s="21"/>
      <c r="J2" s="21"/>
      <c r="K2" s="21"/>
      <c r="L2" s="21"/>
      <c r="M2" s="22"/>
      <c r="N2" s="23"/>
      <c r="O2" s="23"/>
      <c r="P2" s="23"/>
      <c r="Q2" s="23"/>
      <c r="R2" s="23"/>
      <c r="S2" s="23"/>
      <c r="T2" s="24"/>
    </row>
    <row r="3" spans="1:20" x14ac:dyDescent="0.3">
      <c r="A3" s="9"/>
      <c r="B3" s="10"/>
      <c r="C3" s="10"/>
      <c r="D3" s="10"/>
      <c r="E3" s="10"/>
      <c r="F3" s="10"/>
      <c r="G3" s="10"/>
      <c r="H3" s="10"/>
      <c r="I3" s="10"/>
      <c r="J3" s="10"/>
      <c r="K3" s="10"/>
      <c r="L3" s="10"/>
      <c r="M3" s="10"/>
      <c r="N3" s="10"/>
      <c r="O3" s="10"/>
      <c r="P3" s="10"/>
      <c r="Q3" s="10"/>
      <c r="R3" s="10"/>
      <c r="S3" s="10"/>
      <c r="T3" s="11"/>
    </row>
    <row r="4" spans="1:20" x14ac:dyDescent="0.3">
      <c r="A4" s="12"/>
      <c r="B4" s="13"/>
      <c r="C4" s="13"/>
      <c r="D4" s="13"/>
      <c r="E4" s="13"/>
      <c r="F4" s="13"/>
      <c r="G4" s="13"/>
      <c r="H4" s="13"/>
      <c r="I4" s="13"/>
      <c r="J4" s="13"/>
      <c r="K4" s="13"/>
      <c r="L4" s="13"/>
      <c r="M4" s="13"/>
      <c r="N4" s="13"/>
      <c r="O4" s="13"/>
      <c r="P4" s="13"/>
      <c r="Q4" s="13"/>
      <c r="R4" s="13"/>
      <c r="S4" s="13"/>
      <c r="T4" s="14"/>
    </row>
    <row r="5" spans="1:20" x14ac:dyDescent="0.3">
      <c r="A5" s="12"/>
      <c r="B5" s="13"/>
      <c r="C5" s="13"/>
      <c r="D5" s="13"/>
      <c r="E5" s="13"/>
      <c r="F5" s="13"/>
      <c r="G5" s="13"/>
      <c r="H5" s="13"/>
      <c r="I5" s="13"/>
      <c r="J5" s="13"/>
      <c r="K5" s="13"/>
      <c r="L5" s="13"/>
      <c r="M5" s="13"/>
      <c r="N5" s="13"/>
      <c r="O5" s="13"/>
      <c r="P5" s="13"/>
      <c r="Q5" s="13"/>
      <c r="R5" s="13"/>
      <c r="S5" s="13"/>
      <c r="T5" s="14"/>
    </row>
    <row r="6" spans="1:20" x14ac:dyDescent="0.3">
      <c r="A6" s="12"/>
      <c r="B6" s="13"/>
      <c r="C6" s="13"/>
      <c r="D6" s="13"/>
      <c r="E6" s="13"/>
      <c r="F6" s="13"/>
      <c r="G6" s="13"/>
      <c r="H6" s="13"/>
      <c r="I6" s="13"/>
      <c r="J6" s="13"/>
      <c r="K6" s="13"/>
      <c r="L6" s="13"/>
      <c r="M6" s="13"/>
      <c r="N6" s="13"/>
      <c r="O6" s="13"/>
      <c r="P6" s="13"/>
      <c r="Q6" s="13"/>
      <c r="R6" s="13"/>
      <c r="S6" s="13"/>
      <c r="T6" s="14"/>
    </row>
    <row r="7" spans="1:20" x14ac:dyDescent="0.3">
      <c r="A7" s="12"/>
      <c r="B7" s="13"/>
      <c r="C7" s="13"/>
      <c r="D7" s="13"/>
      <c r="E7" s="13"/>
      <c r="F7" s="13"/>
      <c r="G7" s="13"/>
      <c r="H7" s="13"/>
      <c r="I7" s="13"/>
      <c r="J7" s="13"/>
      <c r="K7" s="13"/>
      <c r="L7" s="13"/>
      <c r="M7" s="13"/>
      <c r="N7" s="13"/>
      <c r="O7" s="13"/>
      <c r="P7" s="13"/>
      <c r="Q7" s="13"/>
      <c r="R7" s="13"/>
      <c r="S7" s="13"/>
      <c r="T7" s="14"/>
    </row>
    <row r="8" spans="1:20" x14ac:dyDescent="0.3">
      <c r="A8" s="12"/>
      <c r="B8" s="13"/>
      <c r="C8" s="13"/>
      <c r="D8" s="13"/>
      <c r="E8" s="13"/>
      <c r="F8" s="13"/>
      <c r="G8" s="13"/>
      <c r="H8" s="13"/>
      <c r="I8" s="13"/>
      <c r="J8" s="13"/>
      <c r="K8" s="13"/>
      <c r="L8" s="13"/>
      <c r="M8" s="13"/>
      <c r="N8" s="13"/>
      <c r="O8" s="13"/>
      <c r="P8" s="13"/>
      <c r="Q8" s="13"/>
      <c r="R8" s="13"/>
      <c r="S8" s="13"/>
      <c r="T8" s="14"/>
    </row>
    <row r="9" spans="1:20" x14ac:dyDescent="0.3">
      <c r="A9" s="12"/>
      <c r="B9" s="13"/>
      <c r="C9" s="13"/>
      <c r="D9" s="13"/>
      <c r="E9" s="13"/>
      <c r="F9" s="13"/>
      <c r="G9" s="13"/>
      <c r="H9" s="13"/>
      <c r="I9" s="13"/>
      <c r="J9" s="13"/>
      <c r="K9" s="13"/>
      <c r="L9" s="13"/>
      <c r="M9" s="13"/>
      <c r="N9" s="13"/>
      <c r="O9" s="13"/>
      <c r="P9" s="13"/>
      <c r="Q9" s="13"/>
      <c r="R9" s="13"/>
      <c r="S9" s="13"/>
      <c r="T9" s="14"/>
    </row>
    <row r="10" spans="1:20" x14ac:dyDescent="0.3">
      <c r="A10" s="12"/>
      <c r="B10" s="13"/>
      <c r="C10" s="13"/>
      <c r="D10" s="13"/>
      <c r="E10" s="13"/>
      <c r="F10" s="13"/>
      <c r="G10" s="13"/>
      <c r="H10" s="13"/>
      <c r="I10" s="13"/>
      <c r="J10" s="13"/>
      <c r="K10" s="13"/>
      <c r="L10" s="13"/>
      <c r="M10" s="13"/>
      <c r="N10" s="13"/>
      <c r="O10" s="13"/>
      <c r="P10" s="13"/>
      <c r="Q10" s="13"/>
      <c r="R10" s="13"/>
      <c r="S10" s="13"/>
      <c r="T10" s="14"/>
    </row>
    <row r="11" spans="1:20" x14ac:dyDescent="0.3">
      <c r="A11" s="12"/>
      <c r="B11" s="13"/>
      <c r="C11" s="13"/>
      <c r="D11" s="13"/>
      <c r="E11" s="13"/>
      <c r="F11" s="13"/>
      <c r="G11" s="13"/>
      <c r="H11" s="13"/>
      <c r="I11" s="13"/>
      <c r="J11" s="13"/>
      <c r="K11" s="13"/>
      <c r="L11" s="13"/>
      <c r="M11" s="13"/>
      <c r="N11" s="13"/>
      <c r="O11" s="13"/>
      <c r="P11" s="13"/>
      <c r="Q11" s="13"/>
      <c r="R11" s="13"/>
      <c r="S11" s="13"/>
      <c r="T11" s="14"/>
    </row>
    <row r="12" spans="1:20" x14ac:dyDescent="0.3">
      <c r="A12" s="12"/>
      <c r="B12" s="13"/>
      <c r="C12" s="13"/>
      <c r="D12" s="13"/>
      <c r="E12" s="13"/>
      <c r="F12" s="13"/>
      <c r="G12" s="13"/>
      <c r="H12" s="13"/>
      <c r="I12" s="13"/>
      <c r="J12" s="13"/>
      <c r="K12" s="13"/>
      <c r="L12" s="13"/>
      <c r="M12" s="13"/>
      <c r="N12" s="13"/>
      <c r="O12" s="13"/>
      <c r="P12" s="13"/>
      <c r="Q12" s="13"/>
      <c r="R12" s="13"/>
      <c r="S12" s="13"/>
      <c r="T12" s="14"/>
    </row>
    <row r="13" spans="1:20" x14ac:dyDescent="0.3">
      <c r="A13" s="12"/>
      <c r="B13" s="13"/>
      <c r="C13" s="13"/>
      <c r="D13" s="13"/>
      <c r="E13" s="13"/>
      <c r="F13" s="13"/>
      <c r="G13" s="13"/>
      <c r="H13" s="13"/>
      <c r="I13" s="13"/>
      <c r="J13" s="13"/>
      <c r="K13" s="13"/>
      <c r="L13" s="13"/>
      <c r="M13" s="13"/>
      <c r="N13" s="13"/>
      <c r="O13" s="13"/>
      <c r="P13" s="13"/>
      <c r="Q13" s="13"/>
      <c r="R13" s="13"/>
      <c r="S13" s="13"/>
      <c r="T13" s="14"/>
    </row>
    <row r="14" spans="1:20" x14ac:dyDescent="0.3">
      <c r="A14" s="12"/>
      <c r="B14" s="13"/>
      <c r="C14" s="13"/>
      <c r="D14" s="13"/>
      <c r="E14" s="13"/>
      <c r="F14" s="13"/>
      <c r="G14" s="13"/>
      <c r="H14" s="13"/>
      <c r="I14" s="13"/>
      <c r="J14" s="13"/>
      <c r="K14" s="13"/>
      <c r="L14" s="13"/>
      <c r="M14" s="13"/>
      <c r="N14" s="13"/>
      <c r="O14" s="13"/>
      <c r="P14" s="13"/>
      <c r="Q14" s="13"/>
      <c r="R14" s="13"/>
      <c r="S14" s="13"/>
      <c r="T14" s="14"/>
    </row>
    <row r="15" spans="1:20" x14ac:dyDescent="0.3">
      <c r="A15" s="12"/>
      <c r="B15" s="13"/>
      <c r="C15" s="13"/>
      <c r="D15" s="13"/>
      <c r="E15" s="13"/>
      <c r="F15" s="13"/>
      <c r="G15" s="13"/>
      <c r="H15" s="13"/>
      <c r="I15" s="13"/>
      <c r="J15" s="13"/>
      <c r="K15" s="13"/>
      <c r="L15" s="13"/>
      <c r="M15" s="13"/>
      <c r="N15" s="13"/>
      <c r="O15" s="13"/>
      <c r="P15" s="13"/>
      <c r="Q15" s="13"/>
      <c r="R15" s="13"/>
      <c r="S15" s="13"/>
      <c r="T15" s="14"/>
    </row>
    <row r="16" spans="1:20" x14ac:dyDescent="0.3">
      <c r="A16" s="12"/>
      <c r="B16" s="13"/>
      <c r="C16" s="13"/>
      <c r="D16" s="13"/>
      <c r="E16" s="13"/>
      <c r="F16" s="13"/>
      <c r="G16" s="13"/>
      <c r="H16" s="13"/>
      <c r="I16" s="13"/>
      <c r="J16" s="13"/>
      <c r="K16" s="13"/>
      <c r="L16" s="13"/>
      <c r="M16" s="13"/>
      <c r="N16" s="13"/>
      <c r="O16" s="13"/>
      <c r="P16" s="13"/>
      <c r="Q16" s="13"/>
      <c r="R16" s="13"/>
      <c r="S16" s="13"/>
      <c r="T16" s="14"/>
    </row>
    <row r="17" spans="1:20" x14ac:dyDescent="0.3">
      <c r="A17" s="12"/>
      <c r="B17" s="13"/>
      <c r="C17" s="13"/>
      <c r="D17" s="13"/>
      <c r="E17" s="13"/>
      <c r="F17" s="13"/>
      <c r="G17" s="13"/>
      <c r="H17" s="13"/>
      <c r="I17" s="13"/>
      <c r="J17" s="13"/>
      <c r="K17" s="13"/>
      <c r="L17" s="13"/>
      <c r="M17" s="13"/>
      <c r="N17" s="13"/>
      <c r="O17" s="13"/>
      <c r="P17" s="13"/>
      <c r="Q17" s="13"/>
      <c r="R17" s="13"/>
      <c r="S17" s="13"/>
      <c r="T17" s="14"/>
    </row>
    <row r="18" spans="1:20" x14ac:dyDescent="0.3">
      <c r="A18" s="12"/>
      <c r="B18" s="13"/>
      <c r="C18" s="13"/>
      <c r="D18" s="13"/>
      <c r="E18" s="13"/>
      <c r="F18" s="13"/>
      <c r="G18" s="13"/>
      <c r="H18" s="13"/>
      <c r="I18" s="13"/>
      <c r="J18" s="13"/>
      <c r="K18" s="13"/>
      <c r="L18" s="13"/>
      <c r="M18" s="13"/>
      <c r="N18" s="13"/>
      <c r="O18" s="13"/>
      <c r="P18" s="13"/>
      <c r="Q18" s="13"/>
      <c r="R18" s="13"/>
      <c r="S18" s="13"/>
      <c r="T18" s="14"/>
    </row>
    <row r="19" spans="1:20" x14ac:dyDescent="0.3">
      <c r="A19" s="12"/>
      <c r="B19" s="13"/>
      <c r="C19" s="13"/>
      <c r="D19" s="13"/>
      <c r="E19" s="13"/>
      <c r="F19" s="13"/>
      <c r="G19" s="13"/>
      <c r="H19" s="13"/>
      <c r="I19" s="13"/>
      <c r="J19" s="13"/>
      <c r="K19" s="13"/>
      <c r="L19" s="13"/>
      <c r="M19" s="13"/>
      <c r="N19" s="13"/>
      <c r="O19" s="13"/>
      <c r="P19" s="13"/>
      <c r="Q19" s="13"/>
      <c r="R19" s="13"/>
      <c r="S19" s="13"/>
      <c r="T19" s="14"/>
    </row>
    <row r="20" spans="1:20" x14ac:dyDescent="0.3">
      <c r="A20" s="12"/>
      <c r="B20" s="13"/>
      <c r="C20" s="13"/>
      <c r="D20" s="13"/>
      <c r="E20" s="13"/>
      <c r="F20" s="13"/>
      <c r="G20" s="13"/>
      <c r="H20" s="13"/>
      <c r="I20" s="13"/>
      <c r="J20" s="13"/>
      <c r="K20" s="13"/>
      <c r="L20" s="13"/>
      <c r="M20" s="13"/>
      <c r="N20" s="13"/>
      <c r="O20" s="13"/>
      <c r="P20" s="13"/>
      <c r="Q20" s="13"/>
      <c r="R20" s="13"/>
      <c r="S20" s="13"/>
      <c r="T20" s="14"/>
    </row>
    <row r="21" spans="1:20" x14ac:dyDescent="0.3">
      <c r="A21" s="12"/>
      <c r="B21" s="13"/>
      <c r="C21" s="13"/>
      <c r="D21" s="13"/>
      <c r="E21" s="13"/>
      <c r="F21" s="13"/>
      <c r="G21" s="13"/>
      <c r="H21" s="13"/>
      <c r="I21" s="13"/>
      <c r="J21" s="13"/>
      <c r="K21" s="13"/>
      <c r="L21" s="13"/>
      <c r="M21" s="13"/>
      <c r="N21" s="13"/>
      <c r="O21" s="13"/>
      <c r="P21" s="13"/>
      <c r="Q21" s="13"/>
      <c r="R21" s="13"/>
      <c r="S21" s="13"/>
      <c r="T21" s="14"/>
    </row>
    <row r="22" spans="1:20" x14ac:dyDescent="0.3">
      <c r="A22" s="12"/>
      <c r="B22" s="13"/>
      <c r="C22" s="13"/>
      <c r="D22" s="13"/>
      <c r="E22" s="13"/>
      <c r="F22" s="13"/>
      <c r="G22" s="13"/>
      <c r="H22" s="13"/>
      <c r="I22" s="13"/>
      <c r="J22" s="13"/>
      <c r="K22" s="13"/>
      <c r="L22" s="13"/>
      <c r="M22" s="13"/>
      <c r="N22" s="13"/>
      <c r="O22" s="13"/>
      <c r="P22" s="13"/>
      <c r="Q22" s="13"/>
      <c r="R22" s="13"/>
      <c r="S22" s="13"/>
      <c r="T22" s="14"/>
    </row>
    <row r="23" spans="1:20" x14ac:dyDescent="0.3">
      <c r="A23" s="12"/>
      <c r="B23" s="13"/>
      <c r="C23" s="13"/>
      <c r="D23" s="13"/>
      <c r="E23" s="13"/>
      <c r="F23" s="13"/>
      <c r="G23" s="13"/>
      <c r="H23" s="13"/>
      <c r="I23" s="13"/>
      <c r="J23" s="13"/>
      <c r="K23" s="13"/>
      <c r="L23" s="13"/>
      <c r="M23" s="13"/>
      <c r="N23" s="13"/>
      <c r="O23" s="13"/>
      <c r="P23" s="13"/>
      <c r="Q23" s="13"/>
      <c r="R23" s="13"/>
      <c r="S23" s="13"/>
      <c r="T23" s="14"/>
    </row>
    <row r="24" spans="1:20" x14ac:dyDescent="0.3">
      <c r="A24" s="12"/>
      <c r="B24" s="13"/>
      <c r="C24" s="13"/>
      <c r="D24" s="13"/>
      <c r="E24" s="13"/>
      <c r="F24" s="13"/>
      <c r="G24" s="13"/>
      <c r="H24" s="13"/>
      <c r="I24" s="13"/>
      <c r="J24" s="13"/>
      <c r="K24" s="13"/>
      <c r="L24" s="13"/>
      <c r="M24" s="13"/>
      <c r="N24" s="13"/>
      <c r="O24" s="13"/>
      <c r="P24" s="13"/>
      <c r="Q24" s="13"/>
      <c r="R24" s="13"/>
      <c r="S24" s="13"/>
      <c r="T24" s="14"/>
    </row>
    <row r="25" spans="1:20" x14ac:dyDescent="0.3">
      <c r="A25" s="12"/>
      <c r="B25" s="13"/>
      <c r="C25" s="13"/>
      <c r="D25" s="13"/>
      <c r="E25" s="13"/>
      <c r="F25" s="13"/>
      <c r="G25" s="13"/>
      <c r="H25" s="13"/>
      <c r="I25" s="13"/>
      <c r="J25" s="13"/>
      <c r="K25" s="13"/>
      <c r="L25" s="13"/>
      <c r="M25" s="13"/>
      <c r="N25" s="13"/>
      <c r="O25" s="13"/>
      <c r="P25" s="13"/>
      <c r="Q25" s="13"/>
      <c r="R25" s="13"/>
      <c r="S25" s="13"/>
      <c r="T25" s="14"/>
    </row>
    <row r="26" spans="1:20" x14ac:dyDescent="0.3">
      <c r="A26" s="25"/>
      <c r="B26" s="26"/>
      <c r="C26" s="26"/>
      <c r="D26" s="26"/>
      <c r="E26" s="26"/>
      <c r="F26" s="26"/>
      <c r="G26" s="26"/>
      <c r="H26" s="26"/>
      <c r="I26" s="26"/>
      <c r="J26" s="26"/>
      <c r="K26" s="26"/>
      <c r="L26" s="26"/>
      <c r="M26" s="26"/>
      <c r="N26" s="26"/>
      <c r="O26" s="26"/>
      <c r="P26" s="26"/>
      <c r="Q26" s="26"/>
      <c r="R26" s="26"/>
      <c r="S26" s="26"/>
      <c r="T26" s="27"/>
    </row>
    <row r="27" spans="1:20" x14ac:dyDescent="0.3">
      <c r="A27" s="28"/>
      <c r="B27" s="28"/>
      <c r="C27" s="28"/>
      <c r="D27" s="28"/>
      <c r="E27" s="28"/>
      <c r="F27" s="28"/>
      <c r="G27" s="28"/>
      <c r="H27" s="28"/>
      <c r="I27" s="28"/>
      <c r="J27" s="28"/>
      <c r="K27" s="28"/>
      <c r="L27" s="28"/>
      <c r="M27" s="28"/>
      <c r="N27" s="28"/>
      <c r="O27" s="28"/>
      <c r="P27" s="28"/>
      <c r="Q27" s="28"/>
      <c r="R27" s="28"/>
      <c r="S27" s="28"/>
      <c r="T27" s="28"/>
    </row>
    <row r="28" spans="1:20" x14ac:dyDescent="0.3">
      <c r="A28" s="29"/>
      <c r="B28" s="29"/>
      <c r="C28" s="29"/>
      <c r="D28" s="29"/>
      <c r="E28" s="29"/>
      <c r="F28" s="29"/>
      <c r="G28" s="29"/>
      <c r="H28" s="29"/>
      <c r="I28" s="29"/>
      <c r="J28" s="29"/>
      <c r="K28" s="29"/>
      <c r="L28" s="29"/>
      <c r="M28" s="29"/>
      <c r="N28" s="29"/>
      <c r="O28" s="29"/>
      <c r="P28" s="29"/>
      <c r="Q28" s="29"/>
      <c r="R28" s="29"/>
      <c r="S28" s="29"/>
      <c r="T28" s="29"/>
    </row>
    <row r="29" spans="1:20" x14ac:dyDescent="0.3">
      <c r="A29" s="29"/>
      <c r="B29" s="30"/>
      <c r="C29" s="30"/>
      <c r="D29" s="30"/>
      <c r="E29" s="30"/>
      <c r="F29" s="30"/>
      <c r="G29" s="30"/>
      <c r="H29" s="30"/>
      <c r="I29" s="30"/>
      <c r="J29" s="30"/>
      <c r="K29" s="30"/>
      <c r="L29" s="30"/>
      <c r="M29" s="30"/>
      <c r="N29" s="30"/>
      <c r="O29" s="30"/>
      <c r="P29" s="30"/>
      <c r="Q29" s="30"/>
      <c r="R29" s="30"/>
      <c r="S29" s="30"/>
      <c r="T29" s="30"/>
    </row>
    <row r="30" spans="1:20" x14ac:dyDescent="0.3">
      <c r="A30" s="29"/>
      <c r="B30" s="30"/>
      <c r="C30" s="30"/>
      <c r="D30" s="30"/>
      <c r="E30" s="30"/>
      <c r="F30" s="30"/>
      <c r="G30" s="30"/>
      <c r="H30" s="30"/>
      <c r="I30" s="30"/>
      <c r="J30" s="30"/>
      <c r="K30" s="30"/>
      <c r="L30" s="30"/>
      <c r="M30" s="30"/>
      <c r="N30" s="30"/>
      <c r="O30" s="30"/>
      <c r="P30" s="30"/>
      <c r="Q30" s="30"/>
      <c r="R30" s="30"/>
      <c r="S30" s="30"/>
      <c r="T30" s="30"/>
    </row>
    <row r="31" spans="1:20" x14ac:dyDescent="0.3">
      <c r="A31" s="29"/>
      <c r="B31" s="30"/>
      <c r="C31" s="30"/>
      <c r="D31" s="30"/>
      <c r="E31" s="30"/>
      <c r="F31" s="30"/>
      <c r="G31" s="30"/>
      <c r="H31" s="30"/>
      <c r="I31" s="30"/>
      <c r="J31" s="30"/>
      <c r="K31" s="30"/>
      <c r="L31" s="30"/>
      <c r="M31" s="30"/>
      <c r="N31" s="30"/>
      <c r="O31" s="30"/>
      <c r="P31" s="30"/>
      <c r="Q31" s="30"/>
      <c r="R31" s="30"/>
      <c r="S31" s="30"/>
      <c r="T31" s="30"/>
    </row>
    <row r="32" spans="1:20" x14ac:dyDescent="0.3">
      <c r="A32" s="29"/>
      <c r="B32" s="30"/>
      <c r="C32" s="30"/>
      <c r="D32" s="30"/>
      <c r="E32" s="30"/>
      <c r="F32" s="30"/>
      <c r="G32" s="30"/>
      <c r="H32" s="30"/>
      <c r="I32" s="30"/>
      <c r="J32" s="30"/>
      <c r="K32" s="30"/>
      <c r="L32" s="30"/>
      <c r="M32" s="30"/>
      <c r="N32" s="30"/>
      <c r="O32" s="30"/>
      <c r="P32" s="30"/>
      <c r="Q32" s="30"/>
      <c r="R32" s="30"/>
      <c r="S32" s="30"/>
      <c r="T32" s="30"/>
    </row>
    <row r="33" spans="1:20" x14ac:dyDescent="0.3">
      <c r="A33" s="29"/>
      <c r="B33" s="30"/>
      <c r="C33" s="30"/>
      <c r="D33" s="30"/>
      <c r="E33" s="30"/>
      <c r="F33" s="30"/>
      <c r="G33" s="30"/>
      <c r="H33" s="30"/>
      <c r="I33" s="30"/>
      <c r="J33" s="30"/>
      <c r="K33" s="30"/>
      <c r="L33" s="30"/>
      <c r="M33" s="30"/>
      <c r="N33" s="30"/>
      <c r="O33" s="30"/>
      <c r="P33" s="30"/>
      <c r="Q33" s="30"/>
      <c r="R33" s="30"/>
      <c r="S33" s="30"/>
      <c r="T33" s="30"/>
    </row>
    <row r="34" spans="1:20" x14ac:dyDescent="0.3">
      <c r="A34" s="29"/>
      <c r="B34" s="30"/>
      <c r="C34" s="30"/>
      <c r="D34" s="30"/>
      <c r="E34" s="30"/>
      <c r="F34" s="30"/>
      <c r="G34" s="30"/>
      <c r="H34" s="30"/>
      <c r="I34" s="30"/>
      <c r="J34" s="30"/>
      <c r="K34" s="30"/>
      <c r="L34" s="30"/>
      <c r="M34" s="30"/>
      <c r="N34" s="30"/>
      <c r="O34" s="30"/>
      <c r="P34" s="30"/>
      <c r="Q34" s="30"/>
      <c r="R34" s="30"/>
      <c r="S34" s="30"/>
      <c r="T34" s="30"/>
    </row>
  </sheetData>
  <mergeCells count="2">
    <mergeCell ref="A3:T26"/>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ED35E7-F441-4EF8-BF28-9AD155DC7F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monthly_spending_dataset_2020_2</vt:lpstr>
      <vt:lpstr>Transformed_Data</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dc:creator>
  <cp:lastModifiedBy>teja reddy</cp:lastModifiedBy>
  <dcterms:created xsi:type="dcterms:W3CDTF">2025-10-20T13:16:58Z</dcterms:created>
  <dcterms:modified xsi:type="dcterms:W3CDTF">2026-05-20T10:37:01Z</dcterms:modified>
</cp:coreProperties>
</file>